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\runtastic_analysis_full_cycle\Reuntastic_analysis_full\analysis\2026_04_13\"/>
    </mc:Choice>
  </mc:AlternateContent>
  <xr:revisionPtr revIDLastSave="0" documentId="13_ncr:1_{7E8498EA-D5CF-44B1-8F45-D33C810A9958}" xr6:coauthVersionLast="47" xr6:coauthVersionMax="47" xr10:uidLastSave="{00000000-0000-0000-0000-000000000000}"/>
  <bookViews>
    <workbookView xWindow="31215" yWindow="405" windowWidth="24825" windowHeight="15075" xr2:uid="{00000000-000D-0000-FFFF-FFFF00000000}"/>
  </bookViews>
  <sheets>
    <sheet name="2024-06-29_T_23_28_33_Runtastic" sheetId="1" r:id="rId1"/>
    <sheet name="גיליון1" sheetId="2" r:id="rId2"/>
  </sheets>
  <calcPr calcId="181029"/>
</workbook>
</file>

<file path=xl/calcChain.xml><?xml version="1.0" encoding="utf-8"?>
<calcChain xmlns="http://schemas.openxmlformats.org/spreadsheetml/2006/main">
  <c r="AG14" i="1" l="1" a="1"/>
  <c r="AG14" i="1" s="1"/>
  <c r="AG13" i="1" a="1"/>
  <c r="AG13" i="1" s="1"/>
  <c r="AG12" i="1" a="1"/>
  <c r="AG12" i="1" s="1"/>
  <c r="AG10" i="1"/>
  <c r="AG6" i="1"/>
  <c r="AG8" i="1" s="1"/>
  <c r="AG4" i="1"/>
  <c r="AF14" i="1" a="1"/>
  <c r="AF14" i="1" s="1"/>
  <c r="AF13" i="1" a="1"/>
  <c r="AF13" i="1" s="1"/>
  <c r="AF12" i="1" a="1"/>
  <c r="AF12" i="1" s="1"/>
  <c r="AF10" i="1"/>
  <c r="AF6" i="1"/>
  <c r="AF8" i="1" s="1"/>
  <c r="AF4" i="1"/>
  <c r="AG11" i="1" l="1"/>
  <c r="R24" i="1" a="1"/>
  <c r="R24" i="1" s="1"/>
  <c r="R26" i="1" a="1"/>
  <c r="R26" i="1" s="1"/>
  <c r="R30" i="1" a="1"/>
  <c r="R30" i="1" s="1"/>
  <c r="R28" i="1" a="1"/>
  <c r="R28" i="1" s="1"/>
  <c r="R32" i="1" l="1" a="1"/>
  <c r="R32" i="1" s="1"/>
  <c r="AE10" i="1" l="1"/>
  <c r="AF11" i="1" s="1"/>
  <c r="AE6" i="1"/>
  <c r="R14" i="1"/>
  <c r="R10" i="1"/>
  <c r="R6" i="1"/>
  <c r="R8" i="1"/>
  <c r="AC13" i="1" l="1" a="1"/>
  <c r="AC13" i="1" s="1"/>
  <c r="AD13" i="1" a="1"/>
  <c r="AD13" i="1" s="1"/>
  <c r="AC12" i="1" a="1"/>
  <c r="AC12" i="1" s="1"/>
  <c r="AE13" i="1" l="1" a="1"/>
  <c r="AE13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D12" i="1" a="1"/>
  <c r="AD12" i="1" s="1"/>
  <c r="AE12" i="1" a="1"/>
  <c r="AE12" i="1" s="1"/>
  <c r="AD10" i="1"/>
  <c r="AC10" i="1"/>
  <c r="AB10" i="1"/>
  <c r="AA10" i="1"/>
  <c r="Z10" i="1"/>
  <c r="Y10" i="1"/>
  <c r="X10" i="1"/>
  <c r="W10" i="1"/>
  <c r="V10" i="1"/>
  <c r="U10" i="1"/>
  <c r="U6" i="1"/>
  <c r="U8" i="1" s="1"/>
  <c r="V6" i="1"/>
  <c r="V8" i="1" s="1"/>
  <c r="W6" i="1"/>
  <c r="W8" i="1" s="1"/>
  <c r="X6" i="1"/>
  <c r="X8" i="1" s="1"/>
  <c r="Y6" i="1"/>
  <c r="Y8" i="1" s="1"/>
  <c r="Z6" i="1"/>
  <c r="Z8" i="1" s="1"/>
  <c r="AA6" i="1"/>
  <c r="AA8" i="1" s="1"/>
  <c r="AB6" i="1"/>
  <c r="AB8" i="1" s="1"/>
  <c r="AC6" i="1"/>
  <c r="AC8" i="1" s="1"/>
  <c r="AD6" i="1"/>
  <c r="AD8" i="1" s="1"/>
  <c r="AE8" i="1"/>
  <c r="AE4" i="1"/>
  <c r="AD4" i="1"/>
  <c r="AC4" i="1"/>
  <c r="AB4" i="1"/>
  <c r="AA4" i="1"/>
  <c r="Z4" i="1"/>
  <c r="Y4" i="1"/>
  <c r="X4" i="1"/>
  <c r="W4" i="1"/>
  <c r="V4" i="1"/>
  <c r="U4" i="1"/>
  <c r="D2" i="2"/>
  <c r="C3" i="2"/>
  <c r="C4" i="2"/>
  <c r="C5" i="2"/>
  <c r="C6" i="2"/>
  <c r="C7" i="2"/>
  <c r="C8" i="2"/>
  <c r="C9" i="2"/>
  <c r="C2" i="2"/>
  <c r="R20" i="1"/>
  <c r="R12" i="1"/>
  <c r="R16" i="1"/>
  <c r="R18" i="1"/>
  <c r="R22" i="1"/>
  <c r="R2" i="1"/>
  <c r="S2" i="1" s="1"/>
  <c r="AA11" i="1" l="1"/>
  <c r="AC11" i="1"/>
  <c r="Y11" i="1"/>
  <c r="AB11" i="1"/>
  <c r="X11" i="1"/>
  <c r="AE11" i="1"/>
  <c r="W11" i="1"/>
  <c r="Z11" i="1"/>
  <c r="V11" i="1"/>
  <c r="A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Ctrl + Shift + Enter</t>
        </r>
      </text>
    </comment>
    <comment ref="R2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Ctrl + Shift + Enter</t>
        </r>
      </text>
    </comment>
    <comment ref="R2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Ctrl + Shift + Enter</t>
        </r>
      </text>
    </comment>
    <comment ref="R3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Ctrl + Shift + Enter</t>
        </r>
      </text>
    </comment>
    <comment ref="R32" authorId="0" shapeId="0" xr:uid="{CCEAFD39-947E-4098-B759-A5AC61B145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Ctrl + Shift + Enter</t>
        </r>
      </text>
    </comment>
  </commentList>
</comments>
</file>

<file path=xl/sharedStrings.xml><?xml version="1.0" encoding="utf-8"?>
<sst xmlns="http://schemas.openxmlformats.org/spreadsheetml/2006/main" count="45" uniqueCount="42">
  <si>
    <t>start_time</t>
  </si>
  <si>
    <t>end_time</t>
  </si>
  <si>
    <t>duration</t>
  </si>
  <si>
    <t>distance</t>
  </si>
  <si>
    <t>average_pace</t>
  </si>
  <si>
    <t>average_speed</t>
  </si>
  <si>
    <t>max_speed</t>
  </si>
  <si>
    <t>max_heart_rate</t>
  </si>
  <si>
    <t>ave_heart_rate</t>
  </si>
  <si>
    <t>calories</t>
  </si>
  <si>
    <t>max_1km</t>
  </si>
  <si>
    <t>max_5km</t>
  </si>
  <si>
    <t>max_10km</t>
  </si>
  <si>
    <t>max_21_1km</t>
  </si>
  <si>
    <t>max_42_2km</t>
  </si>
  <si>
    <t>Total Ave.Speed</t>
  </si>
  <si>
    <t>Total Average min/Km</t>
  </si>
  <si>
    <t>duration_decimal</t>
  </si>
  <si>
    <t>duration_per_km_min_sec</t>
  </si>
  <si>
    <t>MAX</t>
  </si>
  <si>
    <t>Max Ave.Speed</t>
  </si>
  <si>
    <t>Fastest Run</t>
  </si>
  <si>
    <t>Most Calories Run</t>
  </si>
  <si>
    <t>Longest Duration</t>
  </si>
  <si>
    <t>Highest Ave Heart Rate</t>
  </si>
  <si>
    <t>Best 42.2Km</t>
  </si>
  <si>
    <t>Best 21.1Km</t>
  </si>
  <si>
    <t>Best 10Km</t>
  </si>
  <si>
    <t>Best 5Km</t>
  </si>
  <si>
    <t>Ctrl + Shift + Enter</t>
  </si>
  <si>
    <t>Yearly Total Km</t>
  </si>
  <si>
    <t>Ave.Speed</t>
  </si>
  <si>
    <t>Yearly Average Speed</t>
  </si>
  <si>
    <t>duration_per_km</t>
  </si>
  <si>
    <t>Yearly Min/Km</t>
  </si>
  <si>
    <t>SUMIF</t>
  </si>
  <si>
    <t>Longest Run</t>
  </si>
  <si>
    <t>Fastest min/sec</t>
  </si>
  <si>
    <t>Fastest speed</t>
  </si>
  <si>
    <t>Best1Km</t>
  </si>
  <si>
    <t>Longest distance</t>
  </si>
  <si>
    <t>Highest average_speed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</si>
</sst>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22" fontId="0" fillId="0" borderId="0" xfId="0" applyNumberFormat="1"/>
    <xf numFmtId="21" fontId="0" fillId="0" borderId="0" xfId="0" applyNumberFormat="1"/>
    <xf numFmtId="0" fontId="18" fillId="33" borderId="10" xfId="0" applyFont="1" applyFill="1" applyBorder="1"/>
    <xf numFmtId="0" fontId="18" fillId="33" borderId="11" xfId="0" applyFont="1" applyFill="1" applyBorder="1"/>
    <xf numFmtId="164" fontId="18" fillId="33" borderId="12" xfId="0" applyNumberFormat="1" applyFont="1" applyFill="1" applyBorder="1" applyAlignment="1">
      <alignment horizontal="center"/>
    </xf>
    <xf numFmtId="21" fontId="18" fillId="33" borderId="13" xfId="0" applyNumberFormat="1" applyFont="1" applyFill="1" applyBorder="1" applyAlignment="1">
      <alignment horizontal="center"/>
    </xf>
    <xf numFmtId="46" fontId="0" fillId="0" borderId="0" xfId="0" applyNumberFormat="1"/>
    <xf numFmtId="21" fontId="0" fillId="35" borderId="14" xfId="0" applyNumberFormat="1" applyFill="1" applyBorder="1" applyAlignment="1">
      <alignment horizontal="left"/>
    </xf>
    <xf numFmtId="21" fontId="18" fillId="34" borderId="16" xfId="0" applyNumberFormat="1" applyFont="1" applyFill="1" applyBorder="1" applyAlignment="1">
      <alignment horizontal="left"/>
    </xf>
    <xf numFmtId="0" fontId="0" fillId="35" borderId="16" xfId="0" applyFill="1" applyBorder="1" applyAlignment="1">
      <alignment horizontal="left"/>
    </xf>
    <xf numFmtId="0" fontId="18" fillId="34" borderId="16" xfId="0" applyFont="1" applyFill="1" applyBorder="1" applyAlignment="1">
      <alignment horizontal="left"/>
    </xf>
    <xf numFmtId="21" fontId="0" fillId="0" borderId="16" xfId="0" applyNumberFormat="1" applyBorder="1" applyAlignment="1">
      <alignment horizontal="left"/>
    </xf>
    <xf numFmtId="21" fontId="18" fillId="0" borderId="16" xfId="0" applyNumberFormat="1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0" fillId="0" borderId="16" xfId="0" applyBorder="1" applyAlignment="1">
      <alignment horizontal="left"/>
    </xf>
    <xf numFmtId="21" fontId="18" fillId="0" borderId="18" xfId="0" applyNumberFormat="1" applyFont="1" applyBorder="1" applyAlignment="1">
      <alignment horizontal="left"/>
    </xf>
    <xf numFmtId="0" fontId="23" fillId="0" borderId="0" xfId="0" applyFont="1"/>
    <xf numFmtId="0" fontId="18" fillId="0" borderId="10" xfId="0" applyFont="1" applyBorder="1"/>
    <xf numFmtId="0" fontId="18" fillId="0" borderId="22" xfId="0" applyFont="1" applyBorder="1"/>
    <xf numFmtId="22" fontId="0" fillId="0" borderId="23" xfId="0" applyNumberFormat="1" applyBorder="1"/>
    <xf numFmtId="22" fontId="0" fillId="0" borderId="21" xfId="0" applyNumberFormat="1" applyBorder="1"/>
    <xf numFmtId="0" fontId="18" fillId="0" borderId="0" xfId="0" applyFont="1"/>
    <xf numFmtId="0" fontId="24" fillId="35" borderId="19" xfId="0" applyFont="1" applyFill="1" applyBorder="1"/>
    <xf numFmtId="21" fontId="24" fillId="39" borderId="16" xfId="0" applyNumberFormat="1" applyFont="1" applyFill="1" applyBorder="1"/>
    <xf numFmtId="0" fontId="18" fillId="40" borderId="14" xfId="0" applyFont="1" applyFill="1" applyBorder="1"/>
    <xf numFmtId="0" fontId="18" fillId="40" borderId="16" xfId="0" applyFont="1" applyFill="1" applyBorder="1"/>
    <xf numFmtId="21" fontId="0" fillId="0" borderId="16" xfId="0" applyNumberFormat="1" applyBorder="1" applyAlignment="1">
      <alignment horizontal="center" vertical="center"/>
    </xf>
    <xf numFmtId="21" fontId="0" fillId="0" borderId="19" xfId="0" applyNumberFormat="1" applyBorder="1" applyAlignment="1">
      <alignment horizontal="center" vertical="center"/>
    </xf>
    <xf numFmtId="21" fontId="0" fillId="0" borderId="20" xfId="0" applyNumberFormat="1" applyBorder="1" applyAlignment="1">
      <alignment horizontal="center" vertical="center"/>
    </xf>
    <xf numFmtId="0" fontId="0" fillId="0" borderId="10" xfId="0" applyBorder="1"/>
    <xf numFmtId="0" fontId="24" fillId="0" borderId="26" xfId="0" applyFont="1" applyBorder="1"/>
    <xf numFmtId="0" fontId="0" fillId="0" borderId="22" xfId="0" applyBorder="1"/>
    <xf numFmtId="0" fontId="0" fillId="0" borderId="11" xfId="0" applyBorder="1"/>
    <xf numFmtId="0" fontId="0" fillId="0" borderId="12" xfId="0" applyBorder="1"/>
    <xf numFmtId="0" fontId="0" fillId="0" borderId="27" xfId="0" applyBorder="1"/>
    <xf numFmtId="0" fontId="0" fillId="0" borderId="13" xfId="0" applyBorder="1"/>
    <xf numFmtId="0" fontId="18" fillId="0" borderId="11" xfId="0" applyFont="1" applyBorder="1"/>
    <xf numFmtId="22" fontId="0" fillId="0" borderId="28" xfId="0" applyNumberFormat="1" applyBorder="1"/>
    <xf numFmtId="0" fontId="0" fillId="0" borderId="12" xfId="0" quotePrefix="1" applyBorder="1"/>
    <xf numFmtId="0" fontId="0" fillId="0" borderId="27" xfId="0" quotePrefix="1" applyBorder="1"/>
    <xf numFmtId="0" fontId="0" fillId="0" borderId="13" xfId="0" quotePrefix="1" applyBorder="1"/>
    <xf numFmtId="21" fontId="0" fillId="0" borderId="29" xfId="0" applyNumberFormat="1" applyBorder="1"/>
    <xf numFmtId="21" fontId="0" fillId="0" borderId="30" xfId="0" applyNumberFormat="1" applyBorder="1"/>
    <xf numFmtId="21" fontId="0" fillId="0" borderId="31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0" fontId="19" fillId="36" borderId="15" xfId="0" applyFont="1" applyFill="1" applyBorder="1" applyAlignment="1">
      <alignment horizontal="center" vertical="center" textRotation="90"/>
    </xf>
    <xf numFmtId="0" fontId="19" fillId="36" borderId="17" xfId="0" applyFont="1" applyFill="1" applyBorder="1" applyAlignment="1">
      <alignment horizontal="center" vertical="center" textRotation="90"/>
    </xf>
    <xf numFmtId="0" fontId="19" fillId="36" borderId="20" xfId="0" applyFont="1" applyFill="1" applyBorder="1" applyAlignment="1">
      <alignment horizontal="center" vertical="center" textRotation="90"/>
    </xf>
    <xf numFmtId="0" fontId="18" fillId="37" borderId="24" xfId="0" applyFont="1" applyFill="1" applyBorder="1" applyAlignment="1">
      <alignment horizontal="center"/>
    </xf>
    <xf numFmtId="0" fontId="18" fillId="37" borderId="0" xfId="0" applyFont="1" applyFill="1" applyBorder="1" applyAlignment="1">
      <alignment horizontal="center"/>
    </xf>
    <xf numFmtId="0" fontId="18" fillId="37" borderId="25" xfId="0" applyFont="1" applyFill="1" applyBorder="1" applyAlignment="1">
      <alignment horizontal="center"/>
    </xf>
    <xf numFmtId="0" fontId="0" fillId="38" borderId="24" xfId="0" applyFill="1" applyBorder="1" applyAlignment="1">
      <alignment horizontal="center"/>
    </xf>
    <xf numFmtId="0" fontId="0" fillId="38" borderId="0" xfId="0" applyFill="1" applyBorder="1" applyAlignment="1">
      <alignment horizontal="center"/>
    </xf>
    <xf numFmtId="0" fontId="0" fillId="38" borderId="25" xfId="0" applyFill="1" applyBorder="1" applyAlignment="1">
      <alignment horizontal="center"/>
    </xf>
    <xf numFmtId="22" fontId="0" fillId="41" borderId="0" xfId="0" applyNumberFormat="1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1"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441960</xdr:colOff>
      <xdr:row>15</xdr:row>
      <xdr:rowOff>68580</xdr:rowOff>
    </xdr:from>
    <xdr:to>
      <xdr:col>30</xdr:col>
      <xdr:colOff>970089</xdr:colOff>
      <xdr:row>21</xdr:row>
      <xdr:rowOff>1992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6610FF9-F90E-4D6A-A523-A3D19F22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5831066" y="2758440"/>
          <a:ext cx="5109654" cy="977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29"/>
  <sheetViews>
    <sheetView rightToLeft="1" tabSelected="1" workbookViewId="0">
      <pane ySplit="1" topLeftCell="A1302" activePane="bottomLeft" state="frozen"/>
      <selection pane="bottomLeft" activeCell="A342" sqref="A342"/>
    </sheetView>
  </sheetViews>
  <sheetFormatPr defaultRowHeight="14.4" x14ac:dyDescent="0.3"/>
  <cols>
    <col min="1" max="2" width="15" bestFit="1" customWidth="1"/>
    <col min="18" max="18" width="22.21875" bestFit="1" customWidth="1"/>
    <col min="19" max="19" width="20.5546875" bestFit="1" customWidth="1"/>
    <col min="20" max="20" width="20.77734375" bestFit="1" customWidth="1"/>
    <col min="21" max="32" width="15" bestFit="1" customWidth="1"/>
    <col min="33" max="33" width="15.6640625" bestFit="1" customWidth="1"/>
  </cols>
  <sheetData>
    <row r="1" spans="1:33" x14ac:dyDescent="0.3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R1" s="3" t="s">
        <v>15</v>
      </c>
      <c r="S1" s="4" t="s">
        <v>16</v>
      </c>
      <c r="U1" s="20">
        <v>2014</v>
      </c>
      <c r="V1" s="21">
        <v>2015</v>
      </c>
      <c r="W1" s="21">
        <v>2016</v>
      </c>
      <c r="X1" s="21">
        <v>2017</v>
      </c>
      <c r="Y1" s="21">
        <v>2018</v>
      </c>
      <c r="Z1" s="21">
        <v>2019</v>
      </c>
      <c r="AA1" s="21">
        <v>2020</v>
      </c>
      <c r="AB1" s="21">
        <v>2021</v>
      </c>
      <c r="AC1" s="21">
        <v>2022</v>
      </c>
      <c r="AD1" s="21">
        <v>2023</v>
      </c>
      <c r="AE1" s="21">
        <v>2024</v>
      </c>
      <c r="AF1" s="21">
        <v>2025</v>
      </c>
      <c r="AG1" s="39">
        <v>2026</v>
      </c>
    </row>
    <row r="2" spans="1:33" ht="15" thickBot="1" x14ac:dyDescent="0.35">
      <c r="A2" s="1">
        <v>41756.328159722223</v>
      </c>
      <c r="B2" s="1">
        <v>41756.336840277778</v>
      </c>
      <c r="C2">
        <v>12.5</v>
      </c>
      <c r="D2" s="2">
        <v>8.6805555555555559E-3</v>
      </c>
      <c r="E2">
        <v>2.339</v>
      </c>
      <c r="F2" s="2">
        <v>3.7037037037037034E-3</v>
      </c>
      <c r="G2">
        <v>11.23</v>
      </c>
      <c r="H2">
        <v>15.69</v>
      </c>
      <c r="I2">
        <v>0</v>
      </c>
      <c r="J2">
        <v>0</v>
      </c>
      <c r="K2">
        <v>173</v>
      </c>
      <c r="L2" s="2">
        <v>3.3333333333333335E-3</v>
      </c>
      <c r="M2" s="2">
        <v>0</v>
      </c>
      <c r="N2" s="2">
        <v>0</v>
      </c>
      <c r="O2" s="2">
        <v>0</v>
      </c>
      <c r="P2" s="2">
        <v>0</v>
      </c>
      <c r="R2" s="5">
        <f>SUM(E2:E998)/(SUM(C2:C998)/60)</f>
        <v>12.1272168397521</v>
      </c>
      <c r="S2" s="6">
        <f>(60/(R2))/(24*60)</f>
        <v>3.4357979425325758E-3</v>
      </c>
      <c r="U2" s="22">
        <v>41640</v>
      </c>
      <c r="V2" s="23">
        <v>42005</v>
      </c>
      <c r="W2" s="23">
        <v>42370</v>
      </c>
      <c r="X2" s="23">
        <v>42736</v>
      </c>
      <c r="Y2" s="23">
        <v>43101</v>
      </c>
      <c r="Z2" s="23">
        <v>43466</v>
      </c>
      <c r="AA2" s="23">
        <v>43831</v>
      </c>
      <c r="AB2" s="23">
        <v>44197</v>
      </c>
      <c r="AC2" s="23">
        <v>44562</v>
      </c>
      <c r="AD2" s="23">
        <v>44927</v>
      </c>
      <c r="AE2" s="23">
        <v>45292</v>
      </c>
      <c r="AF2" s="23">
        <v>45658</v>
      </c>
      <c r="AG2" s="40">
        <v>46023</v>
      </c>
    </row>
    <row r="3" spans="1:33" x14ac:dyDescent="0.3">
      <c r="A3" s="1">
        <v>41787.198182870372</v>
      </c>
      <c r="B3" s="1">
        <v>41787.209236111114</v>
      </c>
      <c r="C3">
        <v>15.82</v>
      </c>
      <c r="D3" s="2">
        <v>1.0983796296296297E-2</v>
      </c>
      <c r="E3">
        <v>3.2160000000000002</v>
      </c>
      <c r="F3" s="2">
        <v>3.414351851851852E-3</v>
      </c>
      <c r="G3">
        <v>12.2</v>
      </c>
      <c r="H3">
        <v>20.84</v>
      </c>
      <c r="I3">
        <v>0</v>
      </c>
      <c r="J3">
        <v>0</v>
      </c>
      <c r="K3">
        <v>237</v>
      </c>
      <c r="L3" s="2">
        <v>3.1249999999999997E-3</v>
      </c>
      <c r="M3" s="2">
        <v>0</v>
      </c>
      <c r="N3" s="2">
        <v>0</v>
      </c>
      <c r="O3" s="2">
        <v>0</v>
      </c>
      <c r="P3" s="2">
        <v>0</v>
      </c>
      <c r="R3" s="7"/>
      <c r="U3" s="22">
        <v>42005</v>
      </c>
      <c r="V3" s="23">
        <v>42370</v>
      </c>
      <c r="W3" s="23">
        <v>42736</v>
      </c>
      <c r="X3" s="23">
        <v>43101</v>
      </c>
      <c r="Y3" s="23">
        <v>43466</v>
      </c>
      <c r="Z3" s="23">
        <v>43830</v>
      </c>
      <c r="AA3" s="23">
        <v>44197</v>
      </c>
      <c r="AB3" s="23">
        <v>44562</v>
      </c>
      <c r="AC3" s="23">
        <v>44927</v>
      </c>
      <c r="AD3" s="23">
        <v>45291</v>
      </c>
      <c r="AE3" s="23">
        <v>45657</v>
      </c>
      <c r="AF3" s="23">
        <v>46022</v>
      </c>
      <c r="AG3" s="40">
        <v>46387</v>
      </c>
    </row>
    <row r="4" spans="1:33" ht="15" thickBot="1" x14ac:dyDescent="0.35">
      <c r="A4" s="1">
        <v>41953.167268518519</v>
      </c>
      <c r="B4" s="1">
        <v>41953.182233796295</v>
      </c>
      <c r="C4">
        <v>21.55</v>
      </c>
      <c r="D4" s="2">
        <v>1.4953703703703705E-2</v>
      </c>
      <c r="E4">
        <v>4.3109999999999999</v>
      </c>
      <c r="F4" s="2">
        <v>3.4606481481481485E-3</v>
      </c>
      <c r="G4">
        <v>12</v>
      </c>
      <c r="H4">
        <v>15.25</v>
      </c>
      <c r="I4">
        <v>0</v>
      </c>
      <c r="J4">
        <v>0</v>
      </c>
      <c r="K4">
        <v>318</v>
      </c>
      <c r="L4" s="2">
        <v>3.3217592592592591E-3</v>
      </c>
      <c r="M4" s="2">
        <v>0</v>
      </c>
      <c r="N4" s="2">
        <v>0</v>
      </c>
      <c r="O4" s="2">
        <v>0</v>
      </c>
      <c r="P4" s="2">
        <v>0</v>
      </c>
      <c r="T4" s="24" t="s">
        <v>30</v>
      </c>
      <c r="U4" s="41">
        <f>SUMIFS($E$1:$E$999,$A$1:$A$999,"&gt;="&amp;U2,$A$1:$A$999,"&lt;"&amp;U3)</f>
        <v>9.8659999999999997</v>
      </c>
      <c r="V4" s="42">
        <f>SUMIFS($E$1:$E$600,$A$1:$A$600,"&gt;="&amp;V2,$A$1:$A$600,"&lt;"&amp;V3)</f>
        <v>2.8719999999999999</v>
      </c>
      <c r="W4" s="42">
        <f>SUMIFS($E$1:$E$600,$A$1:$A$600,"&gt;="&amp;W2,$A$1:$A$600,"&lt;"&amp;W3)</f>
        <v>3.133</v>
      </c>
      <c r="X4" s="42">
        <f>SUMIFS($E$1:$E$800,$A$1:$A$800,"&gt;="&amp;X2,$A$1:$A$800,"&lt;"&amp;X3)</f>
        <v>0</v>
      </c>
      <c r="Y4" s="42">
        <f>SUMIFS($E$1:$E$800,$A$1:$A$800,"&gt;="&amp;Y2,$A$1:$A$800,"&lt;"&amp;Y3)</f>
        <v>384.13799999999998</v>
      </c>
      <c r="Z4" s="42">
        <f>SUMIFS($E$1:$E$800,$A$1:$A$800,"&gt;="&amp;Z2,$A$1:$A$800,"&lt;"&amp;Z3)</f>
        <v>679.88499999999999</v>
      </c>
      <c r="AA4" s="42">
        <f>SUMIFS($E$1:$E$800,$A$1:$A$800,"&gt;="&amp;AA2,$A$1:$A$800,"&lt;"&amp;AA3)</f>
        <v>1459.8220000000003</v>
      </c>
      <c r="AB4" s="42">
        <f>SUMIFS($E$1:$E$800,$A$1:$A$800,"&gt;="&amp;AB2,$A$1:$A$800,"&lt;"&amp;AB3)</f>
        <v>1405.9989999999987</v>
      </c>
      <c r="AC4" s="42">
        <f>SUMIFS($E$1:$E$999,$A$1:$A$999,"&gt;="&amp;AC2,$A$1:$A$999,"&lt;"&amp;AC3)</f>
        <v>1896.0160000000001</v>
      </c>
      <c r="AD4" s="42">
        <f>SUMIFS($E$1:$E$999,$A$1:$A$999,"&gt;="&amp;AD2,$A$1:$A$999,"&lt;"&amp;AD3)</f>
        <v>2755.2400000000002</v>
      </c>
      <c r="AE4" s="42">
        <f>SUMIFS($E$1:$E$1997,$A$1:$A$1997,"&gt;="&amp;AE2,$A$1:$A$1997,"&lt;"&amp;AE3)</f>
        <v>2823.9590000000017</v>
      </c>
      <c r="AF4" s="42">
        <f>SUMIFS($E$1:$E$1997,$A$1:$A$1997,"&gt;="&amp;AF2,$A$1:$A$1997,"&lt;"&amp;AF3)</f>
        <v>3440.3330000000014</v>
      </c>
      <c r="AG4" s="43">
        <f>SUMIFS($E$1:$E$1997,$A$1:$A$1997,"&gt;="&amp;AG2,$A$1:$A$1997,"&lt;"&amp;AG3)</f>
        <v>997.36500000000012</v>
      </c>
    </row>
    <row r="5" spans="1:33" ht="13.8" customHeight="1" thickBot="1" x14ac:dyDescent="0.35">
      <c r="A5" s="1">
        <v>42107.197013888886</v>
      </c>
      <c r="B5" s="1">
        <v>42107.207071759258</v>
      </c>
      <c r="C5">
        <v>14.48</v>
      </c>
      <c r="D5" s="2">
        <v>1.0046296296296296E-2</v>
      </c>
      <c r="E5">
        <v>2.8719999999999999</v>
      </c>
      <c r="F5" s="2">
        <v>3.4953703703703705E-3</v>
      </c>
      <c r="G5">
        <v>11.9</v>
      </c>
      <c r="H5">
        <v>18</v>
      </c>
      <c r="I5">
        <v>0</v>
      </c>
      <c r="J5">
        <v>0</v>
      </c>
      <c r="K5">
        <v>218</v>
      </c>
      <c r="L5" s="2">
        <v>3.2986111111111111E-3</v>
      </c>
      <c r="M5" s="2">
        <v>0</v>
      </c>
      <c r="N5" s="2">
        <v>0</v>
      </c>
      <c r="O5" s="2">
        <v>0</v>
      </c>
      <c r="P5" s="2">
        <v>0</v>
      </c>
      <c r="R5" s="8" t="s">
        <v>18</v>
      </c>
      <c r="S5" s="50" t="s">
        <v>19</v>
      </c>
      <c r="U5" s="53" t="s">
        <v>31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5"/>
    </row>
    <row r="6" spans="1:33" ht="15" thickBot="1" x14ac:dyDescent="0.35">
      <c r="A6" s="1">
        <v>42457.112974537034</v>
      </c>
      <c r="B6" s="1">
        <v>42457.123749999999</v>
      </c>
      <c r="C6">
        <v>15.52</v>
      </c>
      <c r="D6" s="2">
        <v>1.0763888888888891E-2</v>
      </c>
      <c r="E6">
        <v>3.133</v>
      </c>
      <c r="F6" s="2">
        <v>3.4375E-3</v>
      </c>
      <c r="G6">
        <v>12.11</v>
      </c>
      <c r="H6">
        <v>15.27</v>
      </c>
      <c r="I6">
        <v>0</v>
      </c>
      <c r="J6">
        <v>0</v>
      </c>
      <c r="K6">
        <v>238</v>
      </c>
      <c r="L6" s="2">
        <v>3.1944444444444442E-3</v>
      </c>
      <c r="M6" s="2">
        <v>0</v>
      </c>
      <c r="N6" s="2">
        <v>0</v>
      </c>
      <c r="O6" s="2">
        <v>0</v>
      </c>
      <c r="P6" s="2">
        <v>0</v>
      </c>
      <c r="R6" s="9">
        <f>MIN($F$2:$F$396, $F$398:$F$2997)</f>
        <v>2.5000000000000001E-3</v>
      </c>
      <c r="S6" s="51"/>
      <c r="T6" s="24" t="s">
        <v>32</v>
      </c>
      <c r="U6" s="47">
        <f>SUMIFS($E$1:$E$800,$A$1:$A$800,"&gt;="&amp;U2,$A$1:$A$800,"&lt;="&amp;U3)/(SUMIFS($C$1:$C$800,$A$1:$A$800,"&gt;="&amp;U2,$A$1:$A$800,"&lt;="&amp;U3)/60)</f>
        <v>11.870062161620211</v>
      </c>
      <c r="V6" s="48">
        <f t="shared" ref="V6:AG6" si="0">SUMIFS($E$1:$E$1997,$A$1:$A$1997,"&gt;="&amp;V2,$A$1:$A$1997,"&lt;="&amp;V3)/(SUMIFS($C$1:$C$1997,$A$1:$A$1997,"&gt;="&amp;V2,$A$1:$A$1997,"&lt;="&amp;V3)/60)</f>
        <v>11.900552486187845</v>
      </c>
      <c r="W6" s="48">
        <f t="shared" si="0"/>
        <v>12.112113402061857</v>
      </c>
      <c r="X6" s="48" t="e">
        <f t="shared" si="0"/>
        <v>#DIV/0!</v>
      </c>
      <c r="Y6" s="48">
        <f t="shared" si="0"/>
        <v>11.514410323276831</v>
      </c>
      <c r="Z6" s="48">
        <f t="shared" si="0"/>
        <v>11.537391146948433</v>
      </c>
      <c r="AA6" s="48">
        <f t="shared" si="0"/>
        <v>11.785271995801999</v>
      </c>
      <c r="AB6" s="48">
        <f t="shared" si="0"/>
        <v>11.905173447888009</v>
      </c>
      <c r="AC6" s="48">
        <f t="shared" si="0"/>
        <v>12.541378150889948</v>
      </c>
      <c r="AD6" s="48">
        <f t="shared" si="0"/>
        <v>12.204188632415725</v>
      </c>
      <c r="AE6" s="48">
        <f t="shared" si="0"/>
        <v>12.359340796410025</v>
      </c>
      <c r="AF6" s="48">
        <f t="shared" si="0"/>
        <v>12.461859172887937</v>
      </c>
      <c r="AG6" s="49">
        <f t="shared" si="0"/>
        <v>12.503478882244536</v>
      </c>
    </row>
    <row r="7" spans="1:33" ht="15" thickBot="1" x14ac:dyDescent="0.35">
      <c r="A7" s="1">
        <v>43260.971851851849</v>
      </c>
      <c r="B7" s="1">
        <v>43260.983472222222</v>
      </c>
      <c r="C7">
        <v>16.73</v>
      </c>
      <c r="D7" s="2">
        <v>1.1608796296296296E-2</v>
      </c>
      <c r="E7">
        <v>2.97</v>
      </c>
      <c r="F7" s="2">
        <v>3.9120370370370368E-3</v>
      </c>
      <c r="G7">
        <v>10.65</v>
      </c>
      <c r="H7">
        <v>22.93</v>
      </c>
      <c r="I7">
        <v>0</v>
      </c>
      <c r="J7">
        <v>0</v>
      </c>
      <c r="K7">
        <v>228</v>
      </c>
      <c r="L7" s="2">
        <v>3.4375E-3</v>
      </c>
      <c r="M7" s="2">
        <v>0</v>
      </c>
      <c r="N7" s="2">
        <v>0</v>
      </c>
      <c r="O7" s="2">
        <v>0</v>
      </c>
      <c r="P7" s="2">
        <v>0</v>
      </c>
      <c r="R7" s="10" t="s">
        <v>20</v>
      </c>
      <c r="S7" s="51"/>
      <c r="U7" s="53" t="s">
        <v>33</v>
      </c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5"/>
    </row>
    <row r="8" spans="1:33" ht="15" thickBot="1" x14ac:dyDescent="0.35">
      <c r="A8" s="1">
        <v>43262.912592592591</v>
      </c>
      <c r="B8" s="1">
        <v>43262.928541666668</v>
      </c>
      <c r="C8">
        <v>22.97</v>
      </c>
      <c r="D8" s="2">
        <v>1.59375E-2</v>
      </c>
      <c r="E8">
        <v>4.0780000000000003</v>
      </c>
      <c r="F8" s="2">
        <v>3.9004629629629632E-3</v>
      </c>
      <c r="G8">
        <v>10.65</v>
      </c>
      <c r="H8">
        <v>12.86</v>
      </c>
      <c r="I8">
        <v>0</v>
      </c>
      <c r="J8">
        <v>0</v>
      </c>
      <c r="K8">
        <v>332</v>
      </c>
      <c r="L8" s="2">
        <v>3.7037037037037034E-3</v>
      </c>
      <c r="M8" s="2">
        <v>0</v>
      </c>
      <c r="N8" s="2">
        <v>0</v>
      </c>
      <c r="O8" s="2">
        <v>0</v>
      </c>
      <c r="P8" s="2">
        <v>0</v>
      </c>
      <c r="R8" s="11">
        <f>MAX($G$2:$G$396, $G$398:$G$2997)</f>
        <v>16.63</v>
      </c>
      <c r="S8" s="51"/>
      <c r="T8" s="24" t="s">
        <v>34</v>
      </c>
      <c r="U8" s="44">
        <f t="shared" ref="U8:AE8" si="1">1/(U6*24)</f>
        <v>3.5102315471766113E-3</v>
      </c>
      <c r="V8" s="45">
        <f t="shared" si="1"/>
        <v>3.501238006809038E-3</v>
      </c>
      <c r="W8" s="45">
        <f t="shared" si="1"/>
        <v>3.440082278256552E-3</v>
      </c>
      <c r="X8" s="45" t="e">
        <f t="shared" si="1"/>
        <v>#DIV/0!</v>
      </c>
      <c r="Y8" s="45">
        <f t="shared" si="1"/>
        <v>3.6186539733116751E-3</v>
      </c>
      <c r="Z8" s="45">
        <f t="shared" si="1"/>
        <v>3.6114461350898412E-3</v>
      </c>
      <c r="AA8" s="45">
        <f t="shared" si="1"/>
        <v>3.5354862137682219E-3</v>
      </c>
      <c r="AB8" s="45">
        <f t="shared" si="1"/>
        <v>3.499879010503487E-3</v>
      </c>
      <c r="AC8" s="45">
        <f t="shared" si="1"/>
        <v>3.3223355651475959E-3</v>
      </c>
      <c r="AD8" s="45">
        <f t="shared" si="1"/>
        <v>3.4141283719587236E-3</v>
      </c>
      <c r="AE8" s="45">
        <f t="shared" si="1"/>
        <v>3.3712693381486364E-3</v>
      </c>
      <c r="AF8" s="45">
        <f t="shared" ref="AF8:AG8" si="2">1/(AF6*24)</f>
        <v>3.3435353496303996E-3</v>
      </c>
      <c r="AG8" s="46">
        <f t="shared" si="2"/>
        <v>3.3324058895188827E-3</v>
      </c>
    </row>
    <row r="9" spans="1:33" ht="15" thickBot="1" x14ac:dyDescent="0.35">
      <c r="A9" s="1">
        <v>43264.907569444447</v>
      </c>
      <c r="B9" s="1">
        <v>43264.923020833332</v>
      </c>
      <c r="C9">
        <v>22.17</v>
      </c>
      <c r="D9" s="2">
        <v>1.539351851851852E-2</v>
      </c>
      <c r="E9">
        <v>4.2140000000000004</v>
      </c>
      <c r="F9" s="2">
        <v>3.645833333333333E-3</v>
      </c>
      <c r="G9">
        <v>11.4</v>
      </c>
      <c r="H9">
        <v>16.420000000000002</v>
      </c>
      <c r="I9">
        <v>0</v>
      </c>
      <c r="J9">
        <v>0</v>
      </c>
      <c r="K9">
        <v>338</v>
      </c>
      <c r="L9" s="2">
        <v>3.4953703703703705E-3</v>
      </c>
      <c r="M9" s="2">
        <v>0</v>
      </c>
      <c r="N9" s="2">
        <v>0</v>
      </c>
      <c r="O9" s="2">
        <v>0</v>
      </c>
      <c r="P9" s="2">
        <v>0</v>
      </c>
      <c r="R9" s="10" t="s">
        <v>22</v>
      </c>
      <c r="S9" s="51"/>
      <c r="U9" s="56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8"/>
    </row>
    <row r="10" spans="1:33" x14ac:dyDescent="0.3">
      <c r="A10" s="1">
        <v>43268.965057870373</v>
      </c>
      <c r="B10" s="1">
        <v>43268.978680555556</v>
      </c>
      <c r="C10">
        <v>19.600000000000001</v>
      </c>
      <c r="D10" s="2">
        <v>1.3611111111111114E-2</v>
      </c>
      <c r="E10">
        <v>3.5409999999999999</v>
      </c>
      <c r="F10" s="2">
        <v>3.8425925925925923E-3</v>
      </c>
      <c r="G10">
        <v>10.84</v>
      </c>
      <c r="H10">
        <v>15.49</v>
      </c>
      <c r="I10">
        <v>100</v>
      </c>
      <c r="J10">
        <v>85</v>
      </c>
      <c r="K10">
        <v>290</v>
      </c>
      <c r="L10" s="2">
        <v>3.4490740740740745E-3</v>
      </c>
      <c r="M10" s="2">
        <v>0</v>
      </c>
      <c r="N10" s="2">
        <v>0</v>
      </c>
      <c r="O10" s="2">
        <v>0</v>
      </c>
      <c r="P10" s="2">
        <v>0</v>
      </c>
      <c r="R10" s="11">
        <f>MAX($K$2:$K$2997)</f>
        <v>3012</v>
      </c>
      <c r="S10" s="51"/>
      <c r="T10" s="24" t="s">
        <v>35</v>
      </c>
      <c r="U10" s="32">
        <f t="shared" ref="U10:AG10" si="3">SUMIF($A$1:$A$1997,"&gt;="&amp;U2,$E$1:$E$1997)</f>
        <v>15879.875999999997</v>
      </c>
      <c r="V10" s="34">
        <f t="shared" si="3"/>
        <v>15870.009999999997</v>
      </c>
      <c r="W10" s="34">
        <f t="shared" si="3"/>
        <v>15867.137999999997</v>
      </c>
      <c r="X10" s="34">
        <f t="shared" si="3"/>
        <v>15864.004999999997</v>
      </c>
      <c r="Y10" s="34">
        <f t="shared" si="3"/>
        <v>15864.004999999997</v>
      </c>
      <c r="Z10" s="34">
        <f t="shared" si="3"/>
        <v>15479.866999999998</v>
      </c>
      <c r="AA10" s="34">
        <f t="shared" si="3"/>
        <v>14799.982000000002</v>
      </c>
      <c r="AB10" s="34">
        <f t="shared" si="3"/>
        <v>13340.160000000002</v>
      </c>
      <c r="AC10" s="34">
        <f t="shared" si="3"/>
        <v>11934.160999999998</v>
      </c>
      <c r="AD10" s="34">
        <f t="shared" si="3"/>
        <v>10038.145</v>
      </c>
      <c r="AE10" s="34">
        <f t="shared" si="3"/>
        <v>7282.9050000000007</v>
      </c>
      <c r="AF10" s="34">
        <f t="shared" si="3"/>
        <v>4458.9459999999999</v>
      </c>
      <c r="AG10" s="35">
        <f t="shared" si="3"/>
        <v>997.36500000000012</v>
      </c>
    </row>
    <row r="11" spans="1:33" ht="15" thickBot="1" x14ac:dyDescent="0.35">
      <c r="A11" s="1">
        <v>43270.931689814817</v>
      </c>
      <c r="B11" s="1">
        <v>43270.951342592591</v>
      </c>
      <c r="C11">
        <v>28.3</v>
      </c>
      <c r="D11" s="2">
        <v>1.9641203703703706E-2</v>
      </c>
      <c r="E11">
        <v>5.2050000000000001</v>
      </c>
      <c r="F11" s="2">
        <v>3.7731481481481483E-3</v>
      </c>
      <c r="G11">
        <v>11.04</v>
      </c>
      <c r="H11">
        <v>17.25</v>
      </c>
      <c r="I11">
        <v>0</v>
      </c>
      <c r="J11">
        <v>0</v>
      </c>
      <c r="K11">
        <v>426</v>
      </c>
      <c r="L11" s="2">
        <v>3.1134259259259257E-3</v>
      </c>
      <c r="M11" s="2">
        <v>1.8819444444444448E-2</v>
      </c>
      <c r="N11" s="2">
        <v>0</v>
      </c>
      <c r="O11" s="2">
        <v>0</v>
      </c>
      <c r="P11" s="2">
        <v>0</v>
      </c>
      <c r="R11" s="10" t="s">
        <v>41</v>
      </c>
      <c r="S11" s="51"/>
      <c r="U11" s="36">
        <v>0</v>
      </c>
      <c r="V11" s="37">
        <f>U10-V10</f>
        <v>9.8659999999999854</v>
      </c>
      <c r="W11" s="37">
        <f t="shared" ref="W11:AB11" si="4">V10-W10</f>
        <v>2.8719999999993888</v>
      </c>
      <c r="X11" s="37">
        <f t="shared" si="4"/>
        <v>3.1329999999998108</v>
      </c>
      <c r="Y11" s="37">
        <f t="shared" si="4"/>
        <v>0</v>
      </c>
      <c r="Z11" s="37">
        <f t="shared" si="4"/>
        <v>384.13799999999901</v>
      </c>
      <c r="AA11" s="37">
        <f t="shared" si="4"/>
        <v>679.88499999999658</v>
      </c>
      <c r="AB11" s="37">
        <f t="shared" si="4"/>
        <v>1459.8220000000001</v>
      </c>
      <c r="AC11" s="37">
        <f>AB10-AC10</f>
        <v>1405.9990000000034</v>
      </c>
      <c r="AD11" s="37">
        <f>AC10-AD10</f>
        <v>1896.0159999999978</v>
      </c>
      <c r="AE11" s="37">
        <f>AD10-AE10</f>
        <v>2755.24</v>
      </c>
      <c r="AF11" s="37">
        <f>AE10-AF10</f>
        <v>2823.9590000000007</v>
      </c>
      <c r="AG11" s="38">
        <f>AF10-AG10</f>
        <v>3461.5809999999997</v>
      </c>
    </row>
    <row r="12" spans="1:33" x14ac:dyDescent="0.3">
      <c r="A12" s="1">
        <v>43281.985972222225</v>
      </c>
      <c r="B12" s="1">
        <v>43282.002847222226</v>
      </c>
      <c r="C12">
        <v>24.01</v>
      </c>
      <c r="D12" s="2">
        <v>1.6666666666666666E-2</v>
      </c>
      <c r="E12">
        <v>4.2789999999999999</v>
      </c>
      <c r="F12" s="2">
        <v>3.8888888888888883E-3</v>
      </c>
      <c r="G12">
        <v>10.69</v>
      </c>
      <c r="H12">
        <v>15.43</v>
      </c>
      <c r="I12">
        <v>0</v>
      </c>
      <c r="J12">
        <v>0</v>
      </c>
      <c r="K12">
        <v>353</v>
      </c>
      <c r="L12" s="2">
        <v>3.4490740740740745E-3</v>
      </c>
      <c r="M12" s="2">
        <v>0</v>
      </c>
      <c r="N12" s="2">
        <v>0</v>
      </c>
      <c r="O12" s="2">
        <v>0</v>
      </c>
      <c r="P12" s="2">
        <v>0</v>
      </c>
      <c r="R12" s="11">
        <f>MAX($G$2:$G$396, $G$398:$G$1996)</f>
        <v>16.63</v>
      </c>
      <c r="S12" s="51"/>
      <c r="T12" s="24" t="s">
        <v>36</v>
      </c>
      <c r="U12" s="33">
        <f t="array" ref="U12">MAX(IF(($A$1:$A$800&gt;U$2)*($A$1:$A$800&lt;U$3),$E$1:$E$800))</f>
        <v>4.3109999999999999</v>
      </c>
      <c r="V12" s="33">
        <f t="array" ref="V12">MAX(IF(($A$1:$A$800&gt;V$2)*($A$1:$A$800&lt;V$3),$E$1:$E$800))</f>
        <v>2.8719999999999999</v>
      </c>
      <c r="W12" s="33">
        <f t="array" ref="W12">MAX(IF(($A$1:$A$800&gt;W$2)*($A$1:$A$800&lt;W$3),$E$1:$E$800))</f>
        <v>3.133</v>
      </c>
      <c r="X12" s="33">
        <f t="array" ref="X12">MAX(IF(($A$1:$A$800&gt;X$2)*($A$1:$A$800&lt;X$3),$E$1:$E$800))</f>
        <v>0</v>
      </c>
      <c r="Y12" s="33">
        <f t="array" ref="Y12">MAX(IF(($A$1:$A$800&gt;Y$2)*($A$1:$A$800&lt;Y$3),$E$1:$E$800))</f>
        <v>17.010000000000002</v>
      </c>
      <c r="Z12" s="33">
        <f t="array" ref="Z12">MAX(IF(($A$1:$A$800&gt;Z$2)*($A$1:$A$800&lt;Z$3),$E$1:$E$800))</f>
        <v>22.015999999999998</v>
      </c>
      <c r="AA12" s="33">
        <f t="array" ref="AA12">MAX(IF(($A$1:$A$800&gt;AA$2)*($A$1:$A$800&lt;AA$3),$E$1:$E$800))</f>
        <v>22.564</v>
      </c>
      <c r="AB12" s="33">
        <f t="array" ref="AB12">MAX(IF(($A$1:$A$800&gt;AB$2)*($A$1:$A$800&lt;AB$3),$E$1:$E$800))</f>
        <v>23.1</v>
      </c>
      <c r="AC12" s="33">
        <f t="array" ref="AC12">MAX(IF(($A$1:$A$800&gt;AC$2)*($A$1:$A$800&lt;AC$3),$E$1:$E$800))</f>
        <v>21.539000000000001</v>
      </c>
      <c r="AD12" s="33">
        <f t="array" ref="AD12">MAX(IF(($A$1:$A$800&gt;AD$2)*($A$1:$A$800&lt;AD$3),$E$1:$E$800))</f>
        <v>36.383000000000003</v>
      </c>
      <c r="AE12" s="33">
        <f t="array" ref="AE12">MAX(IF(($A$1:$A$1997&gt;AE$2)*($A$1:$A$1997&lt;AE$3),$E$1:$E$1997))</f>
        <v>42.746000000000002</v>
      </c>
      <c r="AF12" s="33">
        <f t="array" ref="AF12">MAX(IF(($A$1:$A$1997&gt;AF$2)*($A$1:$A$1997&lt;AF$3),$E$1:$E$1997))</f>
        <v>42.48</v>
      </c>
      <c r="AG12" s="33">
        <f t="array" ref="AG12">MAX(IF(($A$1:$A$1997&gt;AG$2)*($A$1:$A$1997&lt;AG$3),$E$1:$E$1997))</f>
        <v>42.451000000000001</v>
      </c>
    </row>
    <row r="13" spans="1:33" x14ac:dyDescent="0.3">
      <c r="A13" s="1">
        <v>43298.924675925926</v>
      </c>
      <c r="B13" s="1">
        <v>43298.942233796297</v>
      </c>
      <c r="C13">
        <v>25.28</v>
      </c>
      <c r="D13" s="2">
        <v>1.7557870370370373E-2</v>
      </c>
      <c r="E13">
        <v>5.0270000000000001</v>
      </c>
      <c r="F13" s="2">
        <v>3.483796296296296E-3</v>
      </c>
      <c r="G13">
        <v>11.93</v>
      </c>
      <c r="H13">
        <v>16.36</v>
      </c>
      <c r="I13">
        <v>0</v>
      </c>
      <c r="J13">
        <v>0</v>
      </c>
      <c r="K13">
        <v>427</v>
      </c>
      <c r="L13" s="2">
        <v>3.3101851851851851E-3</v>
      </c>
      <c r="M13" s="2">
        <v>1.744212962962963E-2</v>
      </c>
      <c r="N13" s="2">
        <v>0</v>
      </c>
      <c r="O13" s="2">
        <v>0</v>
      </c>
      <c r="P13" s="2">
        <v>0</v>
      </c>
      <c r="R13" s="10" t="s">
        <v>40</v>
      </c>
      <c r="S13" s="51"/>
      <c r="T13" s="24" t="s">
        <v>37</v>
      </c>
      <c r="U13" s="26">
        <f t="array" ref="U13">MIN(IF(($A$1:$A$1997&gt;U$2)*($A$1:$A$1997&lt;U$3),$F$1:$F$1997))</f>
        <v>3.414351851851852E-3</v>
      </c>
      <c r="V13" s="26">
        <f t="array" ref="V13">MIN(IF(($A$1:$A$1997&gt;V$2)*($A$1:$A$1997&lt;V$3),$F$1:$F$1997))</f>
        <v>3.4953703703703705E-3</v>
      </c>
      <c r="W13" s="26">
        <f t="array" ref="W13">MIN(IF(($A$1:$A$1997&gt;W$2)*($A$1:$A$1997&lt;W$3),$F$1:$F$1997))</f>
        <v>3.4375E-3</v>
      </c>
      <c r="X13" s="26">
        <f t="array" ref="X13">MIN(IF(($A$1:$A$1997&gt;X$2)*($A$1:$A$1997&lt;X$3),$F$1:$F$1997))</f>
        <v>0</v>
      </c>
      <c r="Y13" s="26">
        <f t="array" ref="Y13">MIN(IF(($A$1:$A$1997&gt;Y$2)*($A$1:$A$1997&lt;Y$3),$F$1:$F$1997))</f>
        <v>3.1712962962962958E-3</v>
      </c>
      <c r="Z13" s="26">
        <f t="array" ref="Z13">MIN(IF(($A$1:$A$1997&gt;Z$2)*($A$1:$A$1997&lt;Z$3),$F$1:$F$1997))</f>
        <v>3.2060185185185191E-3</v>
      </c>
      <c r="AA13" s="26">
        <f t="array" ref="AA13">MIN(IF(($A$1:$A$1997&gt;AA$2)*($A$1:$A$1997&lt;AA$3),$F$1:$F$1997))</f>
        <v>2.9398148148148148E-3</v>
      </c>
      <c r="AB13" s="26">
        <f t="array" ref="AB13">MIN(IF(($A$1:$A$1997&gt;AB$2)*($A$1:$A$1997&lt;AB$3),$F$1:$F$1997))</f>
        <v>2.7662037037037034E-3</v>
      </c>
      <c r="AC13" s="26">
        <f t="array" ref="AC13">MIN(IF(($A$1:$A$396&gt;AC$2)*($A$1:$A$396&lt;AC$3),$F$1:$F$396),IF(($A$398:$A$1997&gt;AC$2)*($A$398:$A$1997&lt;AC$3),$F$398:$F$1997))</f>
        <v>2.673611111111111E-3</v>
      </c>
      <c r="AD13" s="26">
        <f t="array" ref="AD13">MIN(IF(($A$1:$A$1997&gt;AD$2)*($A$1:$A$1997&lt;AD$3),$F$1:$F$1997))</f>
        <v>2.5578703703703705E-3</v>
      </c>
      <c r="AE13" s="26">
        <f t="array" ref="AE13">MIN(IF(($A$1:$A$1997&gt;AE$2)*($A$1:$A$1997&lt;AE$3),$F$1:$F$1997))</f>
        <v>2.615740740740741E-3</v>
      </c>
      <c r="AF13" s="26">
        <f t="array" ref="AF13">MIN(IF(($A$1:$A$1997&gt;AF$2)*($A$1:$A$1997&lt;AF$3),$F$1:$F$1997))</f>
        <v>2.5000000000000001E-3</v>
      </c>
      <c r="AG13" s="26">
        <f t="array" ref="AG13">MIN(IF(($A$1:$A$1997&gt;AG$2)*($A$1:$A$1997&lt;AG$3),$F$1:$F$1997))</f>
        <v>2.9745370370370373E-3</v>
      </c>
    </row>
    <row r="14" spans="1:33" ht="15" thickBot="1" x14ac:dyDescent="0.35">
      <c r="A14" s="1">
        <v>43316.982870370368</v>
      </c>
      <c r="B14" s="1">
        <v>43317.001446759263</v>
      </c>
      <c r="C14">
        <v>26.75</v>
      </c>
      <c r="D14" s="2">
        <v>1.8564814814814815E-2</v>
      </c>
      <c r="E14">
        <v>5.093</v>
      </c>
      <c r="F14" s="2">
        <v>3.645833333333333E-3</v>
      </c>
      <c r="G14">
        <v>11.42</v>
      </c>
      <c r="H14">
        <v>14.63</v>
      </c>
      <c r="I14">
        <v>0</v>
      </c>
      <c r="J14">
        <v>0</v>
      </c>
      <c r="K14">
        <v>411</v>
      </c>
      <c r="L14" s="2">
        <v>3.2986111111111111E-3</v>
      </c>
      <c r="M14" s="2">
        <v>1.8194444444444444E-2</v>
      </c>
      <c r="N14" s="2">
        <v>0</v>
      </c>
      <c r="O14" s="2">
        <v>0</v>
      </c>
      <c r="P14" s="2">
        <v>0</v>
      </c>
      <c r="R14" s="11">
        <f>MAX($E$2:$E$2997)</f>
        <v>42.746000000000002</v>
      </c>
      <c r="S14" s="51"/>
      <c r="T14" s="24" t="s">
        <v>38</v>
      </c>
      <c r="U14" s="25">
        <f t="array" ref="U14">MAX(IF(($A$1:$A$1997&gt;U$2)*($A$1:$A$1997&lt;U$3),$G$1:$G$1997))</f>
        <v>12.2</v>
      </c>
      <c r="V14" s="25">
        <f t="array" ref="V14">MAX(IF(($A$1:$A$1997&gt;V$2)*($A$1:$A$1997&lt;V$3),$G$1:$G$1997))</f>
        <v>11.9</v>
      </c>
      <c r="W14" s="25">
        <f t="array" ref="W14">MAX(IF(($A$1:$A$1997&gt;W$2)*($A$1:$A$1997&lt;W$3),$G$1:$G$1997))</f>
        <v>12.11</v>
      </c>
      <c r="X14" s="25">
        <f t="array" ref="X14">MAX(IF(($A$1:$A$1997&gt;X$2)*($A$1:$A$1997&lt;X$3),$G$1:$G$1997))</f>
        <v>0</v>
      </c>
      <c r="Y14" s="25">
        <f t="array" ref="Y14">MAX(IF(($A$1:$A$1997&gt;Y$2)*($A$1:$A$1997&lt;Y$3),$G$1:$G$1997))</f>
        <v>13.12</v>
      </c>
      <c r="Z14" s="25">
        <f t="array" ref="Z14">MAX(IF(($A$1:$A$1997&gt;Z$2)*($A$1:$A$1997&lt;Z$3),$G$1:$G$1997))</f>
        <v>12.98</v>
      </c>
      <c r="AA14" s="25">
        <f t="array" ref="AA14">MAX(IF(($A$1:$A$1997&gt;AA$2)*($A$1:$A$1997&lt;AA$3),$G$1:$G$1997))</f>
        <v>14.15</v>
      </c>
      <c r="AB14" s="25">
        <f t="array" ref="AB14">MAX(IF(($A$1:$A$1997&gt;AB$2)*($A$1:$A$1997&lt;AB$3),$G$1:$G$1997))</f>
        <v>15.04</v>
      </c>
      <c r="AC14" s="25">
        <f t="array" ref="AC14">MAX(IF(($A$1:$A$1997&gt;AC$2)*($A$1:$A$1997&lt;AC$3),$G$1:$G$1997))</f>
        <v>16.329999999999998</v>
      </c>
      <c r="AD14" s="25">
        <f t="array" ref="AD14">MAX(IF(($A$1:$A$1997&gt;AD$2)*($A$1:$A$1997&lt;AD$3),$G$1:$G$1997))</f>
        <v>16.260000000000002</v>
      </c>
      <c r="AE14" s="25">
        <f t="array" ref="AE14">MAX(IF(($A$1:$A$1997&gt;AE$2)*($A$1:$A$1997&lt;AE$3),$G$1:$G$1997))</f>
        <v>15.9</v>
      </c>
      <c r="AF14" s="25">
        <f t="array" ref="AF14">MAX(IF(($A$1:$A$1997&gt;AF$2)*($A$1:$A$1997&lt;AF$3),$G$1:$G$1997))</f>
        <v>16.63</v>
      </c>
      <c r="AG14" s="25">
        <f t="array" ref="AG14">MAX(IF(($A$1:$A$1997&gt;AG$2)*($A$1:$A$1997&lt;AG$3),$G$1:$G$1997))</f>
        <v>13.98</v>
      </c>
    </row>
    <row r="15" spans="1:33" x14ac:dyDescent="0.3">
      <c r="A15" s="1">
        <v>43320.939085648148</v>
      </c>
      <c r="B15" s="1">
        <v>43320.963842592595</v>
      </c>
      <c r="C15">
        <v>35.65</v>
      </c>
      <c r="D15" s="2">
        <v>2.4745370370370372E-2</v>
      </c>
      <c r="E15">
        <v>6.7619999999999996</v>
      </c>
      <c r="F15" s="2">
        <v>3.6574074074074074E-3</v>
      </c>
      <c r="G15">
        <v>11.38</v>
      </c>
      <c r="H15">
        <v>15.41</v>
      </c>
      <c r="I15">
        <v>0</v>
      </c>
      <c r="J15">
        <v>0</v>
      </c>
      <c r="K15">
        <v>546</v>
      </c>
      <c r="L15" s="2">
        <v>3.3217592592592591E-3</v>
      </c>
      <c r="M15" s="2">
        <v>1.7974537037037035E-2</v>
      </c>
      <c r="N15" s="2">
        <v>0</v>
      </c>
      <c r="O15" s="2">
        <v>0</v>
      </c>
      <c r="P15" s="2">
        <v>0</v>
      </c>
      <c r="R15" s="12" t="s">
        <v>18</v>
      </c>
      <c r="S15" s="51"/>
    </row>
    <row r="16" spans="1:33" x14ac:dyDescent="0.3">
      <c r="A16" s="1">
        <v>43323.977500000001</v>
      </c>
      <c r="B16" s="1">
        <v>43323.995983796296</v>
      </c>
      <c r="C16">
        <v>26.62</v>
      </c>
      <c r="D16" s="2">
        <v>1.8483796296296297E-2</v>
      </c>
      <c r="E16">
        <v>5.25</v>
      </c>
      <c r="F16" s="2">
        <v>3.5185185185185185E-3</v>
      </c>
      <c r="G16">
        <v>11.83</v>
      </c>
      <c r="H16">
        <v>14.92</v>
      </c>
      <c r="I16">
        <v>0</v>
      </c>
      <c r="J16">
        <v>0</v>
      </c>
      <c r="K16">
        <v>423</v>
      </c>
      <c r="L16" s="2">
        <v>3.1134259259259257E-3</v>
      </c>
      <c r="M16" s="2">
        <v>1.7650462962962962E-2</v>
      </c>
      <c r="N16" s="2">
        <v>0</v>
      </c>
      <c r="O16" s="2">
        <v>0</v>
      </c>
      <c r="P16" s="2">
        <v>0</v>
      </c>
      <c r="R16" s="13">
        <f>MIN($F$2:$F$396, $F$398:$F$998)</f>
        <v>2.5578703703703705E-3</v>
      </c>
      <c r="S16" s="51"/>
    </row>
    <row r="17" spans="1:19" x14ac:dyDescent="0.3">
      <c r="A17" s="1">
        <v>43326.933148148149</v>
      </c>
      <c r="B17" s="1">
        <v>43326.948171296295</v>
      </c>
      <c r="C17">
        <v>21.63</v>
      </c>
      <c r="D17" s="2">
        <v>1.5011574074074075E-2</v>
      </c>
      <c r="E17">
        <v>3.9289999999999998</v>
      </c>
      <c r="F17" s="2">
        <v>3.8194444444444443E-3</v>
      </c>
      <c r="G17">
        <v>10.9</v>
      </c>
      <c r="H17">
        <v>14.6</v>
      </c>
      <c r="I17">
        <v>0</v>
      </c>
      <c r="J17">
        <v>0</v>
      </c>
      <c r="K17">
        <v>323</v>
      </c>
      <c r="L17" s="2">
        <v>3.5995370370370369E-3</v>
      </c>
      <c r="M17" s="2">
        <v>0</v>
      </c>
      <c r="N17" s="2">
        <v>0</v>
      </c>
      <c r="O17" s="2">
        <v>0</v>
      </c>
      <c r="P17" s="2">
        <v>0</v>
      </c>
      <c r="R17" s="12" t="s">
        <v>21</v>
      </c>
      <c r="S17" s="51"/>
    </row>
    <row r="18" spans="1:19" x14ac:dyDescent="0.3">
      <c r="A18" s="1">
        <v>43330.978020833332</v>
      </c>
      <c r="B18" s="1">
        <v>43330.997175925928</v>
      </c>
      <c r="C18">
        <v>27.58</v>
      </c>
      <c r="D18" s="2">
        <v>1.9143518518518518E-2</v>
      </c>
      <c r="E18">
        <v>5.6</v>
      </c>
      <c r="F18" s="2">
        <v>3.414351851851852E-3</v>
      </c>
      <c r="G18">
        <v>12.18</v>
      </c>
      <c r="H18">
        <v>20.11</v>
      </c>
      <c r="I18">
        <v>0</v>
      </c>
      <c r="J18">
        <v>0</v>
      </c>
      <c r="K18">
        <v>455</v>
      </c>
      <c r="L18" s="2">
        <v>3.0555555555555557E-3</v>
      </c>
      <c r="M18" s="2">
        <v>1.7094907407407409E-2</v>
      </c>
      <c r="N18" s="2">
        <v>0</v>
      </c>
      <c r="O18" s="2">
        <v>0</v>
      </c>
      <c r="P18" s="2">
        <v>0</v>
      </c>
      <c r="R18" s="14">
        <f>MAX($G$2:$G$396, $G$398:$G$998)</f>
        <v>16.260000000000002</v>
      </c>
      <c r="S18" s="51"/>
    </row>
    <row r="19" spans="1:19" x14ac:dyDescent="0.3">
      <c r="A19" s="1">
        <v>43339.887372685182</v>
      </c>
      <c r="B19" s="1">
        <v>43339.919560185182</v>
      </c>
      <c r="C19">
        <v>46.35</v>
      </c>
      <c r="D19" s="2">
        <v>3.2187500000000001E-2</v>
      </c>
      <c r="E19">
        <v>8.7919999999999998</v>
      </c>
      <c r="F19" s="2">
        <v>3.6574074074074074E-3</v>
      </c>
      <c r="G19">
        <v>11.38</v>
      </c>
      <c r="H19">
        <v>15.42</v>
      </c>
      <c r="I19">
        <v>0</v>
      </c>
      <c r="J19">
        <v>0</v>
      </c>
      <c r="K19">
        <v>700</v>
      </c>
      <c r="L19" s="2">
        <v>3.1134259259259257E-3</v>
      </c>
      <c r="M19" s="2">
        <v>1.7037037037037038E-2</v>
      </c>
      <c r="N19" s="2">
        <v>0</v>
      </c>
      <c r="O19" s="2">
        <v>0</v>
      </c>
      <c r="P19" s="2">
        <v>0</v>
      </c>
      <c r="R19" s="15" t="s">
        <v>24</v>
      </c>
      <c r="S19" s="51"/>
    </row>
    <row r="20" spans="1:19" x14ac:dyDescent="0.3">
      <c r="A20" s="1">
        <v>43343.00236111111</v>
      </c>
      <c r="B20" s="1">
        <v>43343.023159722223</v>
      </c>
      <c r="C20">
        <v>29.95</v>
      </c>
      <c r="D20" s="2">
        <v>2.0787037037037038E-2</v>
      </c>
      <c r="E20">
        <v>5.2350000000000003</v>
      </c>
      <c r="F20" s="2">
        <v>3.9699074074074072E-3</v>
      </c>
      <c r="G20">
        <v>10.49</v>
      </c>
      <c r="H20">
        <v>16.559999999999999</v>
      </c>
      <c r="I20">
        <v>0</v>
      </c>
      <c r="J20">
        <v>0</v>
      </c>
      <c r="K20">
        <v>438</v>
      </c>
      <c r="L20" s="2">
        <v>3.2986111111111111E-3</v>
      </c>
      <c r="M20" s="2">
        <v>1.9780092592592592E-2</v>
      </c>
      <c r="N20" s="2">
        <v>0</v>
      </c>
      <c r="O20" s="2">
        <v>0</v>
      </c>
      <c r="P20" s="2">
        <v>0</v>
      </c>
      <c r="R20" s="16">
        <f>MAX($J$2:$J$998)</f>
        <v>176</v>
      </c>
      <c r="S20" s="51"/>
    </row>
    <row r="21" spans="1:19" x14ac:dyDescent="0.3">
      <c r="A21" s="1">
        <v>43347.893842592595</v>
      </c>
      <c r="B21" s="1">
        <v>43347.931284722225</v>
      </c>
      <c r="C21">
        <v>53.92</v>
      </c>
      <c r="D21" s="2">
        <v>3.7430555555555557E-2</v>
      </c>
      <c r="E21">
        <v>10.401</v>
      </c>
      <c r="F21" s="2">
        <v>3.5995370370370369E-3</v>
      </c>
      <c r="G21">
        <v>11.57</v>
      </c>
      <c r="H21">
        <v>16.329999999999998</v>
      </c>
      <c r="I21">
        <v>0</v>
      </c>
      <c r="J21">
        <v>0</v>
      </c>
      <c r="K21">
        <v>834</v>
      </c>
      <c r="L21" s="2">
        <v>2.8356481481481479E-3</v>
      </c>
      <c r="M21" s="2">
        <v>1.6354166666666666E-2</v>
      </c>
      <c r="N21" s="2">
        <v>3.5902777777777777E-2</v>
      </c>
      <c r="O21" s="2">
        <v>0</v>
      </c>
      <c r="P21" s="2">
        <v>0</v>
      </c>
      <c r="R21" s="17" t="s">
        <v>23</v>
      </c>
      <c r="S21" s="51"/>
    </row>
    <row r="22" spans="1:19" ht="15" thickBot="1" x14ac:dyDescent="0.35">
      <c r="A22" s="1">
        <v>43351.974560185183</v>
      </c>
      <c r="B22" s="1">
        <v>43352.015023148146</v>
      </c>
      <c r="C22">
        <v>58.27</v>
      </c>
      <c r="D22" s="2">
        <v>4.0451388888888891E-2</v>
      </c>
      <c r="E22">
        <v>10.315</v>
      </c>
      <c r="F22" s="2">
        <v>3.9120370370370368E-3</v>
      </c>
      <c r="G22">
        <v>10.62</v>
      </c>
      <c r="H22">
        <v>14.96</v>
      </c>
      <c r="I22">
        <v>0</v>
      </c>
      <c r="J22">
        <v>0</v>
      </c>
      <c r="K22">
        <v>840</v>
      </c>
      <c r="L22" s="2">
        <v>3.1134259259259257E-3</v>
      </c>
      <c r="M22" s="2">
        <v>1.8518518518518521E-2</v>
      </c>
      <c r="N22" s="2">
        <v>3.9074074074074074E-2</v>
      </c>
      <c r="O22" s="2">
        <v>0</v>
      </c>
      <c r="P22" s="2">
        <v>0</v>
      </c>
      <c r="R22" s="18">
        <f>MAX($D$1:$D$998)</f>
        <v>0.15229166666666666</v>
      </c>
      <c r="S22" s="51"/>
    </row>
    <row r="23" spans="1:19" x14ac:dyDescent="0.3">
      <c r="A23" s="1">
        <v>43355.932962962965</v>
      </c>
      <c r="B23" s="1">
        <v>43355.956053240741</v>
      </c>
      <c r="C23">
        <v>33.25</v>
      </c>
      <c r="D23" s="2">
        <v>2.3090277777777779E-2</v>
      </c>
      <c r="E23">
        <v>6.0910000000000002</v>
      </c>
      <c r="F23" s="2">
        <v>3.7847222222222223E-3</v>
      </c>
      <c r="G23">
        <v>10.99</v>
      </c>
      <c r="H23">
        <v>16.95</v>
      </c>
      <c r="I23">
        <v>0</v>
      </c>
      <c r="J23">
        <v>0</v>
      </c>
      <c r="K23">
        <v>503</v>
      </c>
      <c r="L23" s="2">
        <v>3.0092592592592588E-3</v>
      </c>
      <c r="M23" s="2">
        <v>1.8622685185185183E-2</v>
      </c>
      <c r="N23" s="2">
        <v>0</v>
      </c>
      <c r="O23" s="2">
        <v>0</v>
      </c>
      <c r="P23" s="2">
        <v>0</v>
      </c>
      <c r="R23" s="27" t="s">
        <v>27</v>
      </c>
      <c r="S23" s="51"/>
    </row>
    <row r="24" spans="1:19" x14ac:dyDescent="0.3">
      <c r="A24" s="1">
        <v>43360.988506944443</v>
      </c>
      <c r="B24" s="1">
        <v>43361.006064814814</v>
      </c>
      <c r="C24">
        <v>25.28</v>
      </c>
      <c r="D24" s="2">
        <v>1.7557870370370373E-2</v>
      </c>
      <c r="E24">
        <v>5.2859999999999996</v>
      </c>
      <c r="F24" s="2">
        <v>3.3101851851851851E-3</v>
      </c>
      <c r="G24">
        <v>12.54</v>
      </c>
      <c r="H24">
        <v>18.350000000000001</v>
      </c>
      <c r="I24">
        <v>0</v>
      </c>
      <c r="J24">
        <v>0</v>
      </c>
      <c r="K24">
        <v>429</v>
      </c>
      <c r="L24" s="2">
        <v>2.8356481481481479E-3</v>
      </c>
      <c r="M24" s="2">
        <v>1.6516203703703703E-2</v>
      </c>
      <c r="N24" s="2">
        <v>0</v>
      </c>
      <c r="O24" s="2">
        <v>0</v>
      </c>
      <c r="P24" s="2">
        <v>0</v>
      </c>
      <c r="Q24" s="19" t="s">
        <v>29</v>
      </c>
      <c r="R24" s="29">
        <f t="array" ref="R24">MIN(IF(N2:N1003&gt;0,N2:N1003))</f>
        <v>2.5648148148148146E-2</v>
      </c>
      <c r="S24" s="51"/>
    </row>
    <row r="25" spans="1:19" x14ac:dyDescent="0.3">
      <c r="A25" s="1">
        <v>43363.985439814816</v>
      </c>
      <c r="B25" s="1">
        <v>43364.016921296294</v>
      </c>
      <c r="C25">
        <v>45.33</v>
      </c>
      <c r="D25" s="2">
        <v>3.1481481481481485E-2</v>
      </c>
      <c r="E25">
        <v>9.27</v>
      </c>
      <c r="F25" s="2">
        <v>3.3912037037037036E-3</v>
      </c>
      <c r="G25">
        <v>12.27</v>
      </c>
      <c r="H25">
        <v>17.66</v>
      </c>
      <c r="I25">
        <v>0</v>
      </c>
      <c r="J25">
        <v>0</v>
      </c>
      <c r="K25">
        <v>741</v>
      </c>
      <c r="L25" s="2">
        <v>2.8124999999999995E-3</v>
      </c>
      <c r="M25" s="2">
        <v>1.6620370370370372E-2</v>
      </c>
      <c r="N25" s="2">
        <v>0</v>
      </c>
      <c r="O25" s="2">
        <v>0</v>
      </c>
      <c r="P25" s="2">
        <v>0</v>
      </c>
      <c r="R25" s="28" t="s">
        <v>26</v>
      </c>
      <c r="S25" s="51"/>
    </row>
    <row r="26" spans="1:19" x14ac:dyDescent="0.3">
      <c r="A26" s="1">
        <v>43365.944456018522</v>
      </c>
      <c r="B26" s="1">
        <v>43365.980856481481</v>
      </c>
      <c r="C26">
        <v>44.41</v>
      </c>
      <c r="D26" s="2">
        <v>3.0833333333333334E-2</v>
      </c>
      <c r="E26">
        <v>8.2230000000000008</v>
      </c>
      <c r="F26" s="2">
        <v>3.7500000000000003E-3</v>
      </c>
      <c r="G26">
        <v>11.11</v>
      </c>
      <c r="H26">
        <v>24.74</v>
      </c>
      <c r="I26">
        <v>0</v>
      </c>
      <c r="J26">
        <v>0</v>
      </c>
      <c r="K26">
        <v>662</v>
      </c>
      <c r="L26" s="2">
        <v>3.3101851851851851E-3</v>
      </c>
      <c r="M26" s="2">
        <v>1.8240740740740741E-2</v>
      </c>
      <c r="N26" s="2">
        <v>0</v>
      </c>
      <c r="O26" s="2">
        <v>0</v>
      </c>
      <c r="P26" s="2">
        <v>0</v>
      </c>
      <c r="Q26" s="19" t="s">
        <v>29</v>
      </c>
      <c r="R26" s="29">
        <f t="array" ref="R26">MIN(IF(O2:O1005&gt;0,O2:O1005))</f>
        <v>5.9803240740740747E-2</v>
      </c>
      <c r="S26" s="51"/>
    </row>
    <row r="27" spans="1:19" x14ac:dyDescent="0.3">
      <c r="A27" s="1">
        <v>43368.906724537039</v>
      </c>
      <c r="B27" s="1">
        <v>43368.935787037037</v>
      </c>
      <c r="C27">
        <v>41.85</v>
      </c>
      <c r="D27" s="2">
        <v>2.9062500000000002E-2</v>
      </c>
      <c r="E27">
        <v>8.0069999999999997</v>
      </c>
      <c r="F27" s="2">
        <v>3.6226851851851854E-3</v>
      </c>
      <c r="G27">
        <v>11.48</v>
      </c>
      <c r="H27">
        <v>16.39</v>
      </c>
      <c r="I27">
        <v>0</v>
      </c>
      <c r="J27">
        <v>0</v>
      </c>
      <c r="K27">
        <v>670</v>
      </c>
      <c r="L27" s="2">
        <v>2.9398148148148148E-3</v>
      </c>
      <c r="M27" s="2">
        <v>1.7372685185185185E-2</v>
      </c>
      <c r="N27" s="2">
        <v>0</v>
      </c>
      <c r="O27" s="2">
        <v>0</v>
      </c>
      <c r="P27" s="2">
        <v>0</v>
      </c>
      <c r="R27" s="28" t="s">
        <v>25</v>
      </c>
      <c r="S27" s="51"/>
    </row>
    <row r="28" spans="1:19" ht="15" thickBot="1" x14ac:dyDescent="0.35">
      <c r="A28" s="1">
        <v>43377.759189814817</v>
      </c>
      <c r="B28" s="1">
        <v>43377.781319444446</v>
      </c>
      <c r="C28">
        <v>31.71</v>
      </c>
      <c r="D28" s="2">
        <v>2.2013888888888888E-2</v>
      </c>
      <c r="E28">
        <v>5.484</v>
      </c>
      <c r="F28" s="2">
        <v>4.0046296296296297E-3</v>
      </c>
      <c r="G28">
        <v>10.38</v>
      </c>
      <c r="H28">
        <v>13.98</v>
      </c>
      <c r="I28">
        <v>0</v>
      </c>
      <c r="J28">
        <v>0</v>
      </c>
      <c r="K28">
        <v>457</v>
      </c>
      <c r="L28" s="2">
        <v>3.8657407407407408E-3</v>
      </c>
      <c r="M28" s="2">
        <v>2.0069444444444442E-2</v>
      </c>
      <c r="N28" s="2">
        <v>0</v>
      </c>
      <c r="O28" s="2">
        <v>0</v>
      </c>
      <c r="P28" s="2">
        <v>0</v>
      </c>
      <c r="Q28" s="19" t="s">
        <v>29</v>
      </c>
      <c r="R28" s="30">
        <f t="array" ref="R28">MIN(IF(P2:P1007&gt;0,P2:P1007))</f>
        <v>0.13686342592592593</v>
      </c>
      <c r="S28" s="51"/>
    </row>
    <row r="29" spans="1:19" x14ac:dyDescent="0.3">
      <c r="A29" s="1">
        <v>43380.918749999997</v>
      </c>
      <c r="B29" s="1">
        <v>43380.961851851855</v>
      </c>
      <c r="C29">
        <v>62.07</v>
      </c>
      <c r="D29" s="2">
        <v>4.3090277777777776E-2</v>
      </c>
      <c r="E29">
        <v>11.234</v>
      </c>
      <c r="F29" s="2">
        <v>3.8310185185185183E-3</v>
      </c>
      <c r="G29">
        <v>10.86</v>
      </c>
      <c r="H29">
        <v>15.92</v>
      </c>
      <c r="I29">
        <v>0</v>
      </c>
      <c r="J29">
        <v>0</v>
      </c>
      <c r="K29">
        <v>915</v>
      </c>
      <c r="L29" s="2">
        <v>3.1481481481481482E-3</v>
      </c>
      <c r="M29" s="2">
        <v>1.8020833333333333E-2</v>
      </c>
      <c r="N29" s="2">
        <v>3.7962962962962962E-2</v>
      </c>
      <c r="O29" s="2">
        <v>0</v>
      </c>
      <c r="P29" s="2">
        <v>0</v>
      </c>
      <c r="R29" s="27" t="s">
        <v>28</v>
      </c>
      <c r="S29" s="51"/>
    </row>
    <row r="30" spans="1:19" ht="15" thickBot="1" x14ac:dyDescent="0.35">
      <c r="A30" s="1">
        <v>43382.954965277779</v>
      </c>
      <c r="B30" s="1">
        <v>43382.985023148147</v>
      </c>
      <c r="C30">
        <v>39.85</v>
      </c>
      <c r="D30" s="2">
        <v>2.7673611111111111E-2</v>
      </c>
      <c r="E30">
        <v>8.0210000000000008</v>
      </c>
      <c r="F30" s="2">
        <v>3.4490740740740745E-3</v>
      </c>
      <c r="G30">
        <v>12.08</v>
      </c>
      <c r="H30">
        <v>16.09</v>
      </c>
      <c r="I30">
        <v>0</v>
      </c>
      <c r="J30">
        <v>0</v>
      </c>
      <c r="K30">
        <v>633</v>
      </c>
      <c r="L30" s="2">
        <v>2.8935185185185188E-3</v>
      </c>
      <c r="M30" s="2">
        <v>1.6458333333333332E-2</v>
      </c>
      <c r="N30" s="2">
        <v>0</v>
      </c>
      <c r="O30" s="2">
        <v>0</v>
      </c>
      <c r="P30" s="2">
        <v>0</v>
      </c>
      <c r="R30" s="29">
        <f t="array" ref="R30">MIN(IF(M2:M1009&gt;=0.0123842592592593,M2:M1009))</f>
        <v>1.2638888888888889E-2</v>
      </c>
      <c r="S30" s="51"/>
    </row>
    <row r="31" spans="1:19" x14ac:dyDescent="0.3">
      <c r="A31" s="1">
        <v>43386.95412037037</v>
      </c>
      <c r="B31" s="1">
        <v>43386.984953703701</v>
      </c>
      <c r="C31">
        <v>44.4</v>
      </c>
      <c r="D31" s="2">
        <v>3.0821759259259257E-2</v>
      </c>
      <c r="E31">
        <v>8.6760000000000002</v>
      </c>
      <c r="F31" s="2">
        <v>3.5532407407407405E-3</v>
      </c>
      <c r="G31">
        <v>11.72</v>
      </c>
      <c r="H31">
        <v>18.989999999999998</v>
      </c>
      <c r="I31">
        <v>0</v>
      </c>
      <c r="J31">
        <v>0</v>
      </c>
      <c r="K31">
        <v>692</v>
      </c>
      <c r="L31" s="2">
        <v>2.9629629629629628E-3</v>
      </c>
      <c r="M31" s="2">
        <v>1.6909722222222225E-2</v>
      </c>
      <c r="N31" s="2">
        <v>0</v>
      </c>
      <c r="O31" s="2">
        <v>0</v>
      </c>
      <c r="P31" s="2">
        <v>0</v>
      </c>
      <c r="R31" s="27" t="s">
        <v>39</v>
      </c>
      <c r="S31" s="51"/>
    </row>
    <row r="32" spans="1:19" ht="15" thickBot="1" x14ac:dyDescent="0.35">
      <c r="A32" s="1">
        <v>43389.988287037035</v>
      </c>
      <c r="B32" s="1">
        <v>43390.015787037039</v>
      </c>
      <c r="C32">
        <v>39.6</v>
      </c>
      <c r="D32" s="2">
        <v>2.7488425925925927E-2</v>
      </c>
      <c r="E32">
        <v>7.35</v>
      </c>
      <c r="F32" s="2">
        <v>3.7384259259259263E-3</v>
      </c>
      <c r="G32">
        <v>11.14</v>
      </c>
      <c r="H32">
        <v>14.21</v>
      </c>
      <c r="I32">
        <v>165</v>
      </c>
      <c r="J32">
        <v>163</v>
      </c>
      <c r="K32">
        <v>585</v>
      </c>
      <c r="L32" s="2">
        <v>3.4375E-3</v>
      </c>
      <c r="M32" s="2">
        <v>1.800925925925926E-2</v>
      </c>
      <c r="N32" s="2">
        <v>0</v>
      </c>
      <c r="O32" s="2">
        <v>0</v>
      </c>
      <c r="P32" s="2">
        <v>0</v>
      </c>
      <c r="R32" s="31">
        <f t="array" ref="R32">MIN(IF(L2:L1009&gt;=0.00235694444444444,L2:L1009))</f>
        <v>2.3726851851851851E-3</v>
      </c>
      <c r="S32" s="52"/>
    </row>
    <row r="33" spans="1:16" x14ac:dyDescent="0.3">
      <c r="A33" s="1">
        <v>43391.999236111114</v>
      </c>
      <c r="B33" s="1">
        <v>43392.036377314813</v>
      </c>
      <c r="C33">
        <v>53.48</v>
      </c>
      <c r="D33" s="2">
        <v>3.7141203703703704E-2</v>
      </c>
      <c r="E33">
        <v>10.148999999999999</v>
      </c>
      <c r="F33" s="2">
        <v>3.6574074074074074E-3</v>
      </c>
      <c r="G33">
        <v>11.39</v>
      </c>
      <c r="H33">
        <v>17.760000000000002</v>
      </c>
      <c r="I33">
        <v>130</v>
      </c>
      <c r="J33">
        <v>130</v>
      </c>
      <c r="K33">
        <v>811</v>
      </c>
      <c r="L33" s="2">
        <v>2.8009259259259259E-3</v>
      </c>
      <c r="M33" s="2">
        <v>1.6909722222222225E-2</v>
      </c>
      <c r="N33" s="2">
        <v>3.6493055555555549E-2</v>
      </c>
      <c r="O33" s="2">
        <v>0</v>
      </c>
      <c r="P33" s="2">
        <v>0</v>
      </c>
    </row>
    <row r="34" spans="1:16" x14ac:dyDescent="0.3">
      <c r="A34" s="1">
        <v>43399.650138888886</v>
      </c>
      <c r="B34" s="1">
        <v>43399.684351851851</v>
      </c>
      <c r="C34">
        <v>42.17</v>
      </c>
      <c r="D34" s="2">
        <v>2.9270833333333333E-2</v>
      </c>
      <c r="E34">
        <v>8.3279999999999994</v>
      </c>
      <c r="F34" s="2">
        <v>3.5069444444444445E-3</v>
      </c>
      <c r="G34">
        <v>11.85</v>
      </c>
      <c r="H34">
        <v>14.81</v>
      </c>
      <c r="I34">
        <v>176</v>
      </c>
      <c r="J34">
        <v>167</v>
      </c>
      <c r="K34">
        <v>659</v>
      </c>
      <c r="L34" s="2">
        <v>3.2060185185185191E-3</v>
      </c>
      <c r="M34" s="2">
        <v>1.7106481481481483E-2</v>
      </c>
      <c r="N34" s="2">
        <v>0</v>
      </c>
      <c r="O34" s="2">
        <v>0</v>
      </c>
      <c r="P34" s="2">
        <v>0</v>
      </c>
    </row>
    <row r="35" spans="1:16" x14ac:dyDescent="0.3">
      <c r="A35" s="1">
        <v>43401.94259259259</v>
      </c>
      <c r="B35" s="1">
        <v>43401.968356481484</v>
      </c>
      <c r="C35">
        <v>37.1</v>
      </c>
      <c r="D35" s="2">
        <v>2.5763888888888892E-2</v>
      </c>
      <c r="E35">
        <v>7.6130000000000004</v>
      </c>
      <c r="F35" s="2">
        <v>3.37962962962963E-3</v>
      </c>
      <c r="G35">
        <v>12.31</v>
      </c>
      <c r="H35">
        <v>16.5</v>
      </c>
      <c r="I35">
        <v>171</v>
      </c>
      <c r="J35">
        <v>167</v>
      </c>
      <c r="K35">
        <v>599</v>
      </c>
      <c r="L35" s="2">
        <v>3.1944444444444442E-3</v>
      </c>
      <c r="M35" s="2">
        <v>1.6493055555555556E-2</v>
      </c>
      <c r="N35" s="2">
        <v>0</v>
      </c>
      <c r="O35" s="2">
        <v>0</v>
      </c>
      <c r="P35" s="2">
        <v>0</v>
      </c>
    </row>
    <row r="36" spans="1:16" x14ac:dyDescent="0.3">
      <c r="A36" s="1">
        <v>43401.969305555554</v>
      </c>
      <c r="B36" s="1">
        <v>43401.981249999997</v>
      </c>
      <c r="C36">
        <v>17.2</v>
      </c>
      <c r="D36" s="2">
        <v>1.1932870370370371E-2</v>
      </c>
      <c r="E36">
        <v>3.0179999999999998</v>
      </c>
      <c r="F36" s="2">
        <v>3.9467592592592592E-3</v>
      </c>
      <c r="G36">
        <v>10.53</v>
      </c>
      <c r="H36">
        <v>12.2</v>
      </c>
      <c r="I36">
        <v>166</v>
      </c>
      <c r="J36">
        <v>149</v>
      </c>
      <c r="K36">
        <v>264</v>
      </c>
      <c r="L36" s="2">
        <v>3.8310185185185183E-3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3">
      <c r="A37" s="1">
        <v>43405.334074074075</v>
      </c>
      <c r="B37" s="1">
        <v>43405.365451388891</v>
      </c>
      <c r="C37">
        <v>44.53</v>
      </c>
      <c r="D37" s="2">
        <v>3.0914351851851849E-2</v>
      </c>
      <c r="E37">
        <v>9.2710000000000008</v>
      </c>
      <c r="F37" s="2">
        <v>3.3333333333333335E-3</v>
      </c>
      <c r="G37">
        <v>12.49</v>
      </c>
      <c r="H37">
        <v>16.5</v>
      </c>
      <c r="I37">
        <v>170</v>
      </c>
      <c r="J37">
        <v>160</v>
      </c>
      <c r="K37">
        <v>774</v>
      </c>
      <c r="L37" s="2">
        <v>2.6620370370370374E-3</v>
      </c>
      <c r="M37" s="2">
        <v>1.5983796296296295E-2</v>
      </c>
      <c r="N37" s="2">
        <v>0</v>
      </c>
      <c r="O37" s="2">
        <v>0</v>
      </c>
      <c r="P37" s="2">
        <v>0</v>
      </c>
    </row>
    <row r="38" spans="1:16" x14ac:dyDescent="0.3">
      <c r="A38" s="1">
        <v>43407.889236111114</v>
      </c>
      <c r="B38" s="1">
        <v>43407.943206018521</v>
      </c>
      <c r="C38">
        <v>76.73</v>
      </c>
      <c r="D38" s="2">
        <v>5.3275462962962962E-2</v>
      </c>
      <c r="E38">
        <v>14.108000000000001</v>
      </c>
      <c r="F38" s="2">
        <v>3.7731481481481483E-3</v>
      </c>
      <c r="G38">
        <v>11.03</v>
      </c>
      <c r="H38">
        <v>16.16</v>
      </c>
      <c r="I38">
        <v>168</v>
      </c>
      <c r="J38">
        <v>154</v>
      </c>
      <c r="K38">
        <v>1149</v>
      </c>
      <c r="L38" s="2">
        <v>3.2870370370370367E-3</v>
      </c>
      <c r="M38" s="2">
        <v>1.7754629629629631E-2</v>
      </c>
      <c r="N38" s="2">
        <v>3.695601851851852E-2</v>
      </c>
      <c r="O38" s="2">
        <v>0</v>
      </c>
      <c r="P38" s="2">
        <v>0</v>
      </c>
    </row>
    <row r="39" spans="1:16" x14ac:dyDescent="0.3">
      <c r="A39" s="1">
        <v>43410.88689814815</v>
      </c>
      <c r="B39" s="1">
        <v>43410.918796296297</v>
      </c>
      <c r="C39">
        <v>45.93</v>
      </c>
      <c r="D39" s="2">
        <v>3.1886574074074074E-2</v>
      </c>
      <c r="E39">
        <v>10.047000000000001</v>
      </c>
      <c r="F39" s="2">
        <v>3.1712962962962958E-3</v>
      </c>
      <c r="G39">
        <v>13.12</v>
      </c>
      <c r="H39">
        <v>14.95</v>
      </c>
      <c r="I39">
        <v>175</v>
      </c>
      <c r="J39">
        <v>169</v>
      </c>
      <c r="K39">
        <v>788</v>
      </c>
      <c r="L39" s="2">
        <v>2.9282407407407412E-3</v>
      </c>
      <c r="M39" s="2">
        <v>1.5335648148148147E-2</v>
      </c>
      <c r="N39" s="2">
        <v>3.170138888888889E-2</v>
      </c>
      <c r="O39" s="2">
        <v>0</v>
      </c>
      <c r="P39" s="2">
        <v>0</v>
      </c>
    </row>
    <row r="40" spans="1:16" x14ac:dyDescent="0.3">
      <c r="A40" s="1">
        <v>43410.919803240744</v>
      </c>
      <c r="B40" s="1">
        <v>43410.930509259262</v>
      </c>
      <c r="C40">
        <v>15.42</v>
      </c>
      <c r="D40" s="2">
        <v>1.0694444444444444E-2</v>
      </c>
      <c r="E40">
        <v>2.59</v>
      </c>
      <c r="F40" s="2">
        <v>4.1319444444444442E-3</v>
      </c>
      <c r="G40">
        <v>10.08</v>
      </c>
      <c r="H40">
        <v>13.45</v>
      </c>
      <c r="I40">
        <v>160</v>
      </c>
      <c r="J40">
        <v>151</v>
      </c>
      <c r="K40">
        <v>213</v>
      </c>
      <c r="L40" s="2">
        <v>4.0162037037037033E-3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3">
      <c r="A41" s="1">
        <v>43414.864270833335</v>
      </c>
      <c r="B41" s="1">
        <v>43414.916273148148</v>
      </c>
      <c r="C41">
        <v>54.31</v>
      </c>
      <c r="D41" s="2">
        <v>3.770833333333333E-2</v>
      </c>
      <c r="E41">
        <v>10.144</v>
      </c>
      <c r="F41" s="2">
        <v>3.7152777777777774E-3</v>
      </c>
      <c r="G41">
        <v>11.21</v>
      </c>
      <c r="H41">
        <v>15.71</v>
      </c>
      <c r="I41">
        <v>166</v>
      </c>
      <c r="J41">
        <v>156</v>
      </c>
      <c r="K41">
        <v>826</v>
      </c>
      <c r="L41" s="2">
        <v>3.3217592592592591E-3</v>
      </c>
      <c r="M41" s="2">
        <v>1.8159722222222219E-2</v>
      </c>
      <c r="N41" s="2">
        <v>3.72337962962963E-2</v>
      </c>
      <c r="O41" s="2">
        <v>0</v>
      </c>
      <c r="P41" s="2">
        <v>0</v>
      </c>
    </row>
    <row r="42" spans="1:16" x14ac:dyDescent="0.3">
      <c r="A42" s="1">
        <v>43417.871469907404</v>
      </c>
      <c r="B42" s="1">
        <v>43417.904756944445</v>
      </c>
      <c r="C42">
        <v>47.93</v>
      </c>
      <c r="D42" s="2">
        <v>3.3275462962962958E-2</v>
      </c>
      <c r="E42">
        <v>10.346</v>
      </c>
      <c r="F42" s="2">
        <v>3.2060185185185191E-3</v>
      </c>
      <c r="G42">
        <v>12.95</v>
      </c>
      <c r="H42">
        <v>18.04</v>
      </c>
      <c r="I42">
        <v>176</v>
      </c>
      <c r="J42">
        <v>171</v>
      </c>
      <c r="K42">
        <v>839</v>
      </c>
      <c r="L42" s="2">
        <v>2.9166666666666668E-3</v>
      </c>
      <c r="M42" s="2">
        <v>1.5983796296296295E-2</v>
      </c>
      <c r="N42" s="2">
        <v>3.2164351851851854E-2</v>
      </c>
      <c r="O42" s="2">
        <v>0</v>
      </c>
      <c r="P42" s="2">
        <v>0</v>
      </c>
    </row>
    <row r="43" spans="1:16" x14ac:dyDescent="0.3">
      <c r="A43" s="1">
        <v>43421.925370370373</v>
      </c>
      <c r="B43" s="1">
        <v>43421.993935185186</v>
      </c>
      <c r="C43">
        <v>88.57</v>
      </c>
      <c r="D43" s="2">
        <v>6.1493055555555558E-2</v>
      </c>
      <c r="E43">
        <v>16.062000000000001</v>
      </c>
      <c r="F43" s="2">
        <v>3.8194444444444443E-3</v>
      </c>
      <c r="G43">
        <v>10.88</v>
      </c>
      <c r="H43">
        <v>18.89</v>
      </c>
      <c r="I43">
        <v>167</v>
      </c>
      <c r="J43">
        <v>153</v>
      </c>
      <c r="K43">
        <v>851</v>
      </c>
      <c r="L43" s="2">
        <v>3.3564814814814811E-3</v>
      </c>
      <c r="M43" s="2">
        <v>1.8252314814814815E-2</v>
      </c>
      <c r="N43" s="2">
        <v>3.7256944444444447E-2</v>
      </c>
      <c r="O43" s="2">
        <v>0</v>
      </c>
      <c r="P43" s="2">
        <v>0</v>
      </c>
    </row>
    <row r="44" spans="1:16" x14ac:dyDescent="0.3">
      <c r="A44" s="1">
        <v>43423.937268518515</v>
      </c>
      <c r="B44" s="1">
        <v>43423.971574074072</v>
      </c>
      <c r="C44">
        <v>39.67</v>
      </c>
      <c r="D44" s="2">
        <v>2.7546296296296294E-2</v>
      </c>
      <c r="E44">
        <v>8.0860000000000003</v>
      </c>
      <c r="F44" s="2">
        <v>3.4027777777777784E-3</v>
      </c>
      <c r="G44">
        <v>12.23</v>
      </c>
      <c r="H44">
        <v>15.81</v>
      </c>
      <c r="I44">
        <v>201</v>
      </c>
      <c r="J44">
        <v>154</v>
      </c>
      <c r="K44">
        <v>636</v>
      </c>
      <c r="L44" s="2">
        <v>3.1481481481481482E-3</v>
      </c>
      <c r="M44" s="2">
        <v>1.6412037037037037E-2</v>
      </c>
      <c r="N44" s="2">
        <v>0</v>
      </c>
      <c r="O44" s="2">
        <v>0</v>
      </c>
      <c r="P44" s="2">
        <v>0</v>
      </c>
    </row>
    <row r="45" spans="1:16" x14ac:dyDescent="0.3">
      <c r="A45" s="1">
        <v>43428.890219907407</v>
      </c>
      <c r="B45" s="1">
        <v>43428.936712962961</v>
      </c>
      <c r="C45">
        <v>65.69</v>
      </c>
      <c r="D45" s="2">
        <v>4.5613425925925925E-2</v>
      </c>
      <c r="E45">
        <v>12.321999999999999</v>
      </c>
      <c r="F45" s="2">
        <v>3.6921296296296298E-3</v>
      </c>
      <c r="G45">
        <v>11.25</v>
      </c>
      <c r="H45">
        <v>16.23</v>
      </c>
      <c r="I45">
        <v>177</v>
      </c>
      <c r="J45">
        <v>158</v>
      </c>
      <c r="K45">
        <v>1016</v>
      </c>
      <c r="L45" s="2">
        <v>3.4375E-3</v>
      </c>
      <c r="M45" s="2">
        <v>1.7858796296296296E-2</v>
      </c>
      <c r="N45" s="2">
        <v>3.6446759259259262E-2</v>
      </c>
      <c r="O45" s="2">
        <v>0</v>
      </c>
      <c r="P45" s="2">
        <v>0</v>
      </c>
    </row>
    <row r="46" spans="1:16" x14ac:dyDescent="0.3">
      <c r="A46" s="1">
        <v>43432.916481481479</v>
      </c>
      <c r="B46" s="1">
        <v>43432.96707175926</v>
      </c>
      <c r="C46">
        <v>72.510000000000005</v>
      </c>
      <c r="D46" s="2">
        <v>5.0347222222222217E-2</v>
      </c>
      <c r="E46">
        <v>15.068</v>
      </c>
      <c r="F46" s="2">
        <v>3.3333333333333335E-3</v>
      </c>
      <c r="G46">
        <v>12.47</v>
      </c>
      <c r="H46">
        <v>16.25</v>
      </c>
      <c r="I46">
        <v>187</v>
      </c>
      <c r="J46">
        <v>167</v>
      </c>
      <c r="K46">
        <v>1216</v>
      </c>
      <c r="L46" s="2">
        <v>2.8935185185185188E-3</v>
      </c>
      <c r="M46" s="2">
        <v>1.5810185185185184E-2</v>
      </c>
      <c r="N46" s="2">
        <v>3.2499999999999994E-2</v>
      </c>
      <c r="O46" s="2">
        <v>0</v>
      </c>
      <c r="P46" s="2">
        <v>0</v>
      </c>
    </row>
    <row r="47" spans="1:16" x14ac:dyDescent="0.3">
      <c r="A47" s="1">
        <v>43435.901145833333</v>
      </c>
      <c r="B47" s="1">
        <v>43435.948460648149</v>
      </c>
      <c r="C47">
        <v>68.13</v>
      </c>
      <c r="D47" s="2">
        <v>4.7303240740740743E-2</v>
      </c>
      <c r="E47">
        <v>12.805</v>
      </c>
      <c r="F47" s="2">
        <v>3.6921296296296298E-3</v>
      </c>
      <c r="G47">
        <v>11.28</v>
      </c>
      <c r="H47">
        <v>18.809999999999999</v>
      </c>
      <c r="I47">
        <v>172</v>
      </c>
      <c r="J47">
        <v>151</v>
      </c>
      <c r="K47">
        <v>1047</v>
      </c>
      <c r="L47" s="2">
        <v>3.2175925925925926E-3</v>
      </c>
      <c r="M47" s="2">
        <v>1.7187499999999998E-2</v>
      </c>
      <c r="N47" s="2">
        <v>3.6388888888888887E-2</v>
      </c>
      <c r="O47" s="2">
        <v>0</v>
      </c>
      <c r="P47" s="2">
        <v>0</v>
      </c>
    </row>
    <row r="48" spans="1:16" x14ac:dyDescent="0.3">
      <c r="A48" s="1">
        <v>43439.870856481481</v>
      </c>
      <c r="B48" s="1">
        <v>43439.914479166669</v>
      </c>
      <c r="C48">
        <v>62.82</v>
      </c>
      <c r="D48" s="2">
        <v>4.3622685185185188E-2</v>
      </c>
      <c r="E48">
        <v>11.516999999999999</v>
      </c>
      <c r="F48" s="2">
        <v>3.7847222222222223E-3</v>
      </c>
      <c r="G48">
        <v>11</v>
      </c>
      <c r="H48">
        <v>16.489999999999998</v>
      </c>
      <c r="I48">
        <v>166</v>
      </c>
      <c r="J48">
        <v>148</v>
      </c>
      <c r="K48">
        <v>938</v>
      </c>
      <c r="L48" s="2">
        <v>3.3101851851851851E-3</v>
      </c>
      <c r="M48" s="2">
        <v>1.8668981481481481E-2</v>
      </c>
      <c r="N48" s="2">
        <v>3.7812500000000006E-2</v>
      </c>
      <c r="O48" s="2">
        <v>0</v>
      </c>
      <c r="P48" s="2">
        <v>0</v>
      </c>
    </row>
    <row r="49" spans="1:16" x14ac:dyDescent="0.3">
      <c r="A49" s="1">
        <v>43449.915763888886</v>
      </c>
      <c r="B49" s="1">
        <v>43449.916863425926</v>
      </c>
      <c r="C49">
        <v>1.58</v>
      </c>
      <c r="D49" s="2">
        <v>1.0879629629629629E-3</v>
      </c>
      <c r="E49">
        <v>0.17499999999999999</v>
      </c>
      <c r="F49" s="2">
        <v>6.2731481481481484E-3</v>
      </c>
      <c r="G49">
        <v>6.63</v>
      </c>
      <c r="H49">
        <v>5.23</v>
      </c>
      <c r="I49">
        <v>0</v>
      </c>
      <c r="J49">
        <v>0</v>
      </c>
      <c r="K49">
        <v>16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3">
      <c r="A50" s="1">
        <v>43449.917164351849</v>
      </c>
      <c r="B50" s="1">
        <v>43449.955972222226</v>
      </c>
      <c r="C50">
        <v>55.88</v>
      </c>
      <c r="D50" s="2">
        <v>3.8796296296296294E-2</v>
      </c>
      <c r="E50">
        <v>11.266999999999999</v>
      </c>
      <c r="F50" s="2">
        <v>3.4375E-3</v>
      </c>
      <c r="G50">
        <v>12.1</v>
      </c>
      <c r="H50">
        <v>16.09</v>
      </c>
      <c r="I50">
        <v>175</v>
      </c>
      <c r="J50">
        <v>165</v>
      </c>
      <c r="K50">
        <v>961</v>
      </c>
      <c r="L50" s="2">
        <v>3.1944444444444442E-3</v>
      </c>
      <c r="M50" s="2">
        <v>1.6643518518518519E-2</v>
      </c>
      <c r="N50" s="2">
        <v>3.4247685185185187E-2</v>
      </c>
      <c r="O50" s="2">
        <v>0</v>
      </c>
      <c r="P50" s="2">
        <v>0</v>
      </c>
    </row>
    <row r="51" spans="1:16" x14ac:dyDescent="0.3">
      <c r="A51" s="1">
        <v>43456.951226851852</v>
      </c>
      <c r="B51" s="1">
        <v>43457.012106481481</v>
      </c>
      <c r="C51">
        <v>87.67</v>
      </c>
      <c r="D51" s="2">
        <v>6.0879629629629638E-2</v>
      </c>
      <c r="E51">
        <v>17.010000000000002</v>
      </c>
      <c r="F51" s="2">
        <v>3.5763888888888894E-3</v>
      </c>
      <c r="G51">
        <v>11.64</v>
      </c>
      <c r="H51">
        <v>21.58</v>
      </c>
      <c r="I51">
        <v>175</v>
      </c>
      <c r="J51">
        <v>165</v>
      </c>
      <c r="K51">
        <v>1400</v>
      </c>
      <c r="L51" s="2">
        <v>3.1481481481481482E-3</v>
      </c>
      <c r="M51" s="2">
        <v>1.6967592592592593E-2</v>
      </c>
      <c r="N51" s="2">
        <v>3.4236111111111113E-2</v>
      </c>
      <c r="O51" s="2">
        <v>0</v>
      </c>
      <c r="P51" s="2">
        <v>0</v>
      </c>
    </row>
    <row r="52" spans="1:16" x14ac:dyDescent="0.3">
      <c r="A52" s="1">
        <v>43460.968587962961</v>
      </c>
      <c r="B52" s="1">
        <v>43461.012002314812</v>
      </c>
      <c r="C52">
        <v>62.52</v>
      </c>
      <c r="D52" s="2">
        <v>4.3402777777777783E-2</v>
      </c>
      <c r="E52">
        <v>13.015000000000001</v>
      </c>
      <c r="F52" s="2">
        <v>3.3333333333333335E-3</v>
      </c>
      <c r="G52">
        <v>12.49</v>
      </c>
      <c r="H52">
        <v>16.559999999999999</v>
      </c>
      <c r="I52">
        <v>174</v>
      </c>
      <c r="J52">
        <v>167</v>
      </c>
      <c r="K52">
        <v>1047</v>
      </c>
      <c r="L52" s="2">
        <v>3.0787037037037037E-3</v>
      </c>
      <c r="M52" s="2">
        <v>1.6122685185185184E-2</v>
      </c>
      <c r="N52" s="2">
        <v>3.2685185185185185E-2</v>
      </c>
      <c r="O52" s="2">
        <v>0</v>
      </c>
      <c r="P52" s="2">
        <v>0</v>
      </c>
    </row>
    <row r="53" spans="1:16" x14ac:dyDescent="0.3">
      <c r="A53" s="1">
        <v>43463.980231481481</v>
      </c>
      <c r="B53" s="1">
        <v>43464.027673611112</v>
      </c>
      <c r="C53">
        <v>68.319999999999993</v>
      </c>
      <c r="D53" s="2">
        <v>4.7430555555555559E-2</v>
      </c>
      <c r="E53">
        <v>12.864000000000001</v>
      </c>
      <c r="F53" s="2">
        <v>3.6805555555555554E-3</v>
      </c>
      <c r="G53">
        <v>11.3</v>
      </c>
      <c r="H53">
        <v>14.73</v>
      </c>
      <c r="I53">
        <v>161</v>
      </c>
      <c r="J53">
        <v>148</v>
      </c>
      <c r="K53">
        <v>1052</v>
      </c>
      <c r="L53" s="2">
        <v>3.3333333333333335E-3</v>
      </c>
      <c r="M53" s="2">
        <v>1.7847222222222223E-2</v>
      </c>
      <c r="N53" s="2">
        <v>3.6261574074074078E-2</v>
      </c>
      <c r="O53" s="2">
        <v>0</v>
      </c>
      <c r="P53" s="2">
        <v>0</v>
      </c>
    </row>
    <row r="54" spans="1:16" x14ac:dyDescent="0.3">
      <c r="A54" s="1">
        <v>43469.011331018519</v>
      </c>
      <c r="B54" s="1">
        <v>43469.052418981482</v>
      </c>
      <c r="C54">
        <v>59.17</v>
      </c>
      <c r="D54" s="2">
        <v>4.1076388888888891E-2</v>
      </c>
      <c r="E54">
        <v>12.061</v>
      </c>
      <c r="F54" s="2">
        <v>3.4027777777777784E-3</v>
      </c>
      <c r="G54">
        <v>12.23</v>
      </c>
      <c r="H54">
        <v>15.65</v>
      </c>
      <c r="I54">
        <v>180</v>
      </c>
      <c r="J54">
        <v>164</v>
      </c>
      <c r="K54">
        <v>970</v>
      </c>
      <c r="L54" s="2">
        <v>2.8819444444444444E-3</v>
      </c>
      <c r="M54" s="2">
        <v>1.5810185185185184E-2</v>
      </c>
      <c r="N54" s="2">
        <v>3.3240740740740744E-2</v>
      </c>
      <c r="O54" s="2">
        <v>0</v>
      </c>
      <c r="P54" s="2">
        <v>0</v>
      </c>
    </row>
    <row r="55" spans="1:16" x14ac:dyDescent="0.3">
      <c r="A55" s="1">
        <v>43476.022303240738</v>
      </c>
      <c r="B55" s="1">
        <v>43476.069664351853</v>
      </c>
      <c r="C55">
        <v>68.2</v>
      </c>
      <c r="D55" s="2">
        <v>4.7361111111111111E-2</v>
      </c>
      <c r="E55">
        <v>12.558</v>
      </c>
      <c r="F55" s="2">
        <v>3.7615740740740739E-3</v>
      </c>
      <c r="G55">
        <v>11.05</v>
      </c>
      <c r="H55">
        <v>25.42</v>
      </c>
      <c r="I55">
        <v>172</v>
      </c>
      <c r="J55">
        <v>164</v>
      </c>
      <c r="K55">
        <v>1030</v>
      </c>
      <c r="L55" s="2">
        <v>3.472222222222222E-3</v>
      </c>
      <c r="M55" s="2">
        <v>1.8333333333333333E-2</v>
      </c>
      <c r="N55" s="2">
        <v>3.7361111111111109E-2</v>
      </c>
      <c r="O55" s="2">
        <v>0</v>
      </c>
      <c r="P55" s="2">
        <v>0</v>
      </c>
    </row>
    <row r="56" spans="1:16" x14ac:dyDescent="0.3">
      <c r="A56" s="1">
        <v>43477.977835648147</v>
      </c>
      <c r="B56" s="1">
        <v>43478.040162037039</v>
      </c>
      <c r="C56">
        <v>89.75</v>
      </c>
      <c r="D56" s="2">
        <v>6.232638888888889E-2</v>
      </c>
      <c r="E56">
        <v>18.120999999999999</v>
      </c>
      <c r="F56" s="2">
        <v>3.4375E-3</v>
      </c>
      <c r="G56">
        <v>12.11</v>
      </c>
      <c r="H56">
        <v>16.600000000000001</v>
      </c>
      <c r="I56">
        <v>184</v>
      </c>
      <c r="J56">
        <v>166</v>
      </c>
      <c r="K56">
        <v>1489</v>
      </c>
      <c r="L56" s="2">
        <v>3.0324074074074073E-3</v>
      </c>
      <c r="M56" s="2">
        <v>1.6157407407407409E-2</v>
      </c>
      <c r="N56" s="2">
        <v>3.2731481481481479E-2</v>
      </c>
      <c r="O56" s="2">
        <v>0</v>
      </c>
      <c r="P56" s="2">
        <v>0</v>
      </c>
    </row>
    <row r="57" spans="1:16" x14ac:dyDescent="0.3">
      <c r="A57" s="1">
        <v>43483.303425925929</v>
      </c>
      <c r="B57" s="1">
        <v>43483.354571759257</v>
      </c>
      <c r="C57">
        <v>73.650000000000006</v>
      </c>
      <c r="D57" s="2">
        <v>5.1145833333333335E-2</v>
      </c>
      <c r="E57">
        <v>15.445</v>
      </c>
      <c r="F57" s="2">
        <v>3.3101851851851851E-3</v>
      </c>
      <c r="G57">
        <v>12.58</v>
      </c>
      <c r="H57">
        <v>19.36</v>
      </c>
      <c r="I57">
        <v>193</v>
      </c>
      <c r="J57">
        <v>176</v>
      </c>
      <c r="K57">
        <v>1284</v>
      </c>
      <c r="L57" s="2">
        <v>3.0439814814814821E-3</v>
      </c>
      <c r="M57" s="2">
        <v>1.6342592592592593E-2</v>
      </c>
      <c r="N57" s="2">
        <v>3.3090277777777781E-2</v>
      </c>
      <c r="O57" s="2">
        <v>0</v>
      </c>
      <c r="P57" s="2">
        <v>0</v>
      </c>
    </row>
    <row r="58" spans="1:16" x14ac:dyDescent="0.3">
      <c r="A58" s="1">
        <v>43487.984467592592</v>
      </c>
      <c r="B58" s="1">
        <v>43488.009768518517</v>
      </c>
      <c r="C58">
        <v>36.43</v>
      </c>
      <c r="D58" s="2">
        <v>2.5289351851851851E-2</v>
      </c>
      <c r="E58">
        <v>7.39</v>
      </c>
      <c r="F58" s="2">
        <v>3.414351851851852E-3</v>
      </c>
      <c r="G58">
        <v>12.17</v>
      </c>
      <c r="H58">
        <v>15.08</v>
      </c>
      <c r="I58">
        <v>177</v>
      </c>
      <c r="J58">
        <v>155</v>
      </c>
      <c r="K58">
        <v>599</v>
      </c>
      <c r="L58" s="2">
        <v>2.9745370370370373E-3</v>
      </c>
      <c r="M58" s="2">
        <v>1.6574074074074074E-2</v>
      </c>
      <c r="N58" s="2">
        <v>0</v>
      </c>
      <c r="O58" s="2">
        <v>0</v>
      </c>
      <c r="P58" s="2">
        <v>0</v>
      </c>
    </row>
    <row r="59" spans="1:16" x14ac:dyDescent="0.3">
      <c r="A59" s="1">
        <v>43492.902384259258</v>
      </c>
      <c r="B59" s="1">
        <v>43492.970937500002</v>
      </c>
      <c r="C59">
        <v>98.63</v>
      </c>
      <c r="D59" s="2">
        <v>6.8483796296296293E-2</v>
      </c>
      <c r="E59">
        <v>20.027000000000001</v>
      </c>
      <c r="F59" s="2">
        <v>3.414351851851852E-3</v>
      </c>
      <c r="G59">
        <v>12.18</v>
      </c>
      <c r="H59">
        <v>17.350000000000001</v>
      </c>
      <c r="I59">
        <v>174</v>
      </c>
      <c r="J59">
        <v>158</v>
      </c>
      <c r="K59">
        <v>1650</v>
      </c>
      <c r="L59" s="2">
        <v>2.1296296296296298E-3</v>
      </c>
      <c r="M59" s="2">
        <v>1.4432870370370372E-2</v>
      </c>
      <c r="N59" s="2">
        <v>2.9930555555555557E-2</v>
      </c>
      <c r="O59" s="2">
        <v>0</v>
      </c>
      <c r="P59" s="2">
        <v>0</v>
      </c>
    </row>
    <row r="60" spans="1:16" x14ac:dyDescent="0.3">
      <c r="A60" s="1">
        <v>43533.991435185184</v>
      </c>
      <c r="B60" s="1">
        <v>43534.00708333333</v>
      </c>
      <c r="C60">
        <v>22.53</v>
      </c>
      <c r="D60" s="2">
        <v>1.5636574074074074E-2</v>
      </c>
      <c r="E60">
        <v>4.173</v>
      </c>
      <c r="F60" s="2">
        <v>3.7384259259259263E-3</v>
      </c>
      <c r="G60">
        <v>11.11</v>
      </c>
      <c r="H60">
        <v>14.6</v>
      </c>
      <c r="I60">
        <v>170</v>
      </c>
      <c r="J60">
        <v>163</v>
      </c>
      <c r="K60">
        <v>346</v>
      </c>
      <c r="L60" s="2">
        <v>3.2060185185185191E-3</v>
      </c>
      <c r="M60" s="2">
        <v>0</v>
      </c>
      <c r="N60" s="2">
        <v>0</v>
      </c>
      <c r="O60" s="2">
        <v>0</v>
      </c>
      <c r="P60" s="2">
        <v>0</v>
      </c>
    </row>
    <row r="61" spans="1:16" x14ac:dyDescent="0.3">
      <c r="A61" s="1">
        <v>43536.897349537037</v>
      </c>
      <c r="B61" s="1">
        <v>43536.929537037038</v>
      </c>
      <c r="C61">
        <v>46.35</v>
      </c>
      <c r="D61" s="2">
        <v>3.2187500000000001E-2</v>
      </c>
      <c r="E61">
        <v>8.7449999999999992</v>
      </c>
      <c r="F61" s="2">
        <v>3.6805555555555554E-3</v>
      </c>
      <c r="G61">
        <v>11.32</v>
      </c>
      <c r="H61">
        <v>15.01</v>
      </c>
      <c r="I61">
        <v>170</v>
      </c>
      <c r="J61">
        <v>161</v>
      </c>
      <c r="K61">
        <v>681</v>
      </c>
      <c r="L61" s="2">
        <v>2.1643518518518518E-3</v>
      </c>
      <c r="M61" s="2">
        <v>1.8113425925925925E-2</v>
      </c>
      <c r="N61" s="2">
        <v>0</v>
      </c>
      <c r="O61" s="2">
        <v>0</v>
      </c>
      <c r="P61" s="2">
        <v>0</v>
      </c>
    </row>
    <row r="62" spans="1:16" x14ac:dyDescent="0.3">
      <c r="A62" s="1">
        <v>43540.979259259257</v>
      </c>
      <c r="B62" s="1">
        <v>43541.018541666665</v>
      </c>
      <c r="C62">
        <v>54.83</v>
      </c>
      <c r="D62" s="2">
        <v>3.8067129629629631E-2</v>
      </c>
      <c r="E62">
        <v>10.302</v>
      </c>
      <c r="F62" s="2">
        <v>3.6921296296296298E-3</v>
      </c>
      <c r="G62">
        <v>11.27</v>
      </c>
      <c r="H62">
        <v>16.96</v>
      </c>
      <c r="I62">
        <v>176</v>
      </c>
      <c r="J62">
        <v>162</v>
      </c>
      <c r="K62">
        <v>838</v>
      </c>
      <c r="L62" s="2">
        <v>3.2523148148148151E-3</v>
      </c>
      <c r="M62" s="2">
        <v>1.7048611111111112E-2</v>
      </c>
      <c r="N62" s="2">
        <v>3.6770833333333336E-2</v>
      </c>
      <c r="O62" s="2">
        <v>0</v>
      </c>
      <c r="P62" s="2">
        <v>0</v>
      </c>
    </row>
    <row r="63" spans="1:16" x14ac:dyDescent="0.3">
      <c r="A63" s="1">
        <v>43547.935370370367</v>
      </c>
      <c r="B63" s="1">
        <v>43547.974189814813</v>
      </c>
      <c r="C63">
        <v>55.9</v>
      </c>
      <c r="D63" s="2">
        <v>3.8807870370370375E-2</v>
      </c>
      <c r="E63">
        <v>10.452</v>
      </c>
      <c r="F63" s="2">
        <v>3.7037037037037034E-3</v>
      </c>
      <c r="G63">
        <v>11.22</v>
      </c>
      <c r="H63">
        <v>20.39</v>
      </c>
      <c r="I63">
        <v>173</v>
      </c>
      <c r="J63">
        <v>158</v>
      </c>
      <c r="K63">
        <v>858</v>
      </c>
      <c r="L63" s="2">
        <v>3.3101851851851851E-3</v>
      </c>
      <c r="M63" s="2">
        <v>1.7731481481481483E-2</v>
      </c>
      <c r="N63" s="2">
        <v>3.6979166666666667E-2</v>
      </c>
      <c r="O63" s="2">
        <v>0</v>
      </c>
      <c r="P63" s="2">
        <v>0</v>
      </c>
    </row>
    <row r="64" spans="1:16" x14ac:dyDescent="0.3">
      <c r="A64" s="1">
        <v>43561.982071759259</v>
      </c>
      <c r="B64" s="1">
        <v>43562.031192129631</v>
      </c>
      <c r="C64">
        <v>64.47</v>
      </c>
      <c r="D64" s="2">
        <v>4.4756944444444446E-2</v>
      </c>
      <c r="E64">
        <v>12.141999999999999</v>
      </c>
      <c r="F64" s="2">
        <v>3.6805555555555554E-3</v>
      </c>
      <c r="G64">
        <v>11.3</v>
      </c>
      <c r="H64">
        <v>14.61</v>
      </c>
      <c r="I64">
        <v>175</v>
      </c>
      <c r="J64">
        <v>164</v>
      </c>
      <c r="K64">
        <v>984</v>
      </c>
      <c r="L64" s="2">
        <v>2.8587962962962963E-3</v>
      </c>
      <c r="M64" s="2">
        <v>1.7696759259259259E-2</v>
      </c>
      <c r="N64" s="2">
        <v>3.6597222222222225E-2</v>
      </c>
      <c r="O64" s="2">
        <v>0</v>
      </c>
      <c r="P64" s="2">
        <v>0</v>
      </c>
    </row>
    <row r="65" spans="1:16" x14ac:dyDescent="0.3">
      <c r="A65" s="1">
        <v>43564.964282407411</v>
      </c>
      <c r="B65" s="1">
        <v>43565.018958333334</v>
      </c>
      <c r="C65">
        <v>78.73</v>
      </c>
      <c r="D65" s="2">
        <v>5.4664351851851846E-2</v>
      </c>
      <c r="E65">
        <v>15.212</v>
      </c>
      <c r="F65" s="2">
        <v>3.5879629629629629E-3</v>
      </c>
      <c r="G65">
        <v>11.59</v>
      </c>
      <c r="H65">
        <v>20.420000000000002</v>
      </c>
      <c r="I65">
        <v>181</v>
      </c>
      <c r="J65">
        <v>164</v>
      </c>
      <c r="K65">
        <v>1222</v>
      </c>
      <c r="L65" s="2">
        <v>1.9328703703703704E-3</v>
      </c>
      <c r="M65" s="2">
        <v>1.6018518518518519E-2</v>
      </c>
      <c r="N65" s="2">
        <v>3.3796296296296297E-2</v>
      </c>
      <c r="O65" s="2">
        <v>0</v>
      </c>
      <c r="P65" s="2">
        <v>0</v>
      </c>
    </row>
    <row r="66" spans="1:16" x14ac:dyDescent="0.3">
      <c r="A66" s="1">
        <v>43568.975092592591</v>
      </c>
      <c r="B66" s="1">
        <v>43569.019629629627</v>
      </c>
      <c r="C66">
        <v>64.13</v>
      </c>
      <c r="D66" s="2">
        <v>4.4525462962962968E-2</v>
      </c>
      <c r="E66">
        <v>12.086</v>
      </c>
      <c r="F66" s="2">
        <v>3.6805555555555554E-3</v>
      </c>
      <c r="G66">
        <v>11.31</v>
      </c>
      <c r="H66">
        <v>18.760000000000002</v>
      </c>
      <c r="I66">
        <v>168</v>
      </c>
      <c r="J66">
        <v>158</v>
      </c>
      <c r="K66">
        <v>981</v>
      </c>
      <c r="L66" s="2">
        <v>1.8055555555555557E-3</v>
      </c>
      <c r="M66" s="2">
        <v>1.6689814814814817E-2</v>
      </c>
      <c r="N66" s="2">
        <v>3.6180555555555556E-2</v>
      </c>
      <c r="O66" s="2">
        <v>0</v>
      </c>
      <c r="P66" s="2">
        <v>0</v>
      </c>
    </row>
    <row r="67" spans="1:16" x14ac:dyDescent="0.3">
      <c r="A67" s="1">
        <v>43576.034768518519</v>
      </c>
      <c r="B67" s="1">
        <v>43576.060763888891</v>
      </c>
      <c r="C67">
        <v>37.43</v>
      </c>
      <c r="D67" s="2">
        <v>2.5983796296296297E-2</v>
      </c>
      <c r="E67">
        <v>7.1109999999999998</v>
      </c>
      <c r="F67" s="2">
        <v>3.645833333333333E-3</v>
      </c>
      <c r="G67">
        <v>11.4</v>
      </c>
      <c r="H67">
        <v>16.23</v>
      </c>
      <c r="I67">
        <v>174</v>
      </c>
      <c r="J67">
        <v>163</v>
      </c>
      <c r="K67">
        <v>601</v>
      </c>
      <c r="L67" s="2">
        <v>3.2060185185185191E-3</v>
      </c>
      <c r="M67" s="2">
        <v>1.7939814814814815E-2</v>
      </c>
      <c r="N67" s="2">
        <v>0</v>
      </c>
      <c r="O67" s="2">
        <v>0</v>
      </c>
      <c r="P67" s="2">
        <v>0</v>
      </c>
    </row>
    <row r="68" spans="1:16" x14ac:dyDescent="0.3">
      <c r="A68" s="1">
        <v>43577.93037037037</v>
      </c>
      <c r="B68" s="1">
        <v>43577.962002314816</v>
      </c>
      <c r="C68">
        <v>45.55</v>
      </c>
      <c r="D68" s="2">
        <v>3.1620370370370368E-2</v>
      </c>
      <c r="E68">
        <v>8.2680000000000007</v>
      </c>
      <c r="F68" s="2">
        <v>3.8194444444444443E-3</v>
      </c>
      <c r="G68">
        <v>10.89</v>
      </c>
      <c r="H68">
        <v>14.48</v>
      </c>
      <c r="I68">
        <v>170</v>
      </c>
      <c r="J68">
        <v>161</v>
      </c>
      <c r="K68">
        <v>682</v>
      </c>
      <c r="L68" s="2">
        <v>2.6388888888888885E-3</v>
      </c>
      <c r="M68" s="2">
        <v>1.8865740740740742E-2</v>
      </c>
      <c r="N68" s="2">
        <v>0</v>
      </c>
      <c r="O68" s="2">
        <v>0</v>
      </c>
      <c r="P68" s="2">
        <v>0</v>
      </c>
    </row>
    <row r="69" spans="1:16" x14ac:dyDescent="0.3">
      <c r="A69" s="1">
        <v>43583.941921296297</v>
      </c>
      <c r="B69" s="1">
        <v>43583.99082175926</v>
      </c>
      <c r="C69">
        <v>69.92</v>
      </c>
      <c r="D69" s="2">
        <v>4.8553240740740744E-2</v>
      </c>
      <c r="E69">
        <v>14.067</v>
      </c>
      <c r="F69" s="2">
        <v>3.4490740740740745E-3</v>
      </c>
      <c r="G69">
        <v>12.07</v>
      </c>
      <c r="H69">
        <v>17.48</v>
      </c>
      <c r="I69">
        <v>170</v>
      </c>
      <c r="J69">
        <v>158</v>
      </c>
      <c r="K69">
        <v>1145</v>
      </c>
      <c r="L69" s="2">
        <v>2.4189814814814816E-3</v>
      </c>
      <c r="M69" s="2">
        <v>1.6157407407407409E-2</v>
      </c>
      <c r="N69" s="2">
        <v>3.3263888888888891E-2</v>
      </c>
      <c r="O69" s="2">
        <v>0</v>
      </c>
      <c r="P69" s="2">
        <v>0</v>
      </c>
    </row>
    <row r="70" spans="1:16" x14ac:dyDescent="0.3">
      <c r="A70" s="1">
        <v>43588.287094907406</v>
      </c>
      <c r="B70" s="1">
        <v>43588.368055555555</v>
      </c>
      <c r="C70">
        <v>116.58</v>
      </c>
      <c r="D70" s="2">
        <v>8.0949074074074076E-2</v>
      </c>
      <c r="E70">
        <v>22.015999999999998</v>
      </c>
      <c r="F70" s="2">
        <v>3.6689814814814814E-3</v>
      </c>
      <c r="G70">
        <v>11.33</v>
      </c>
      <c r="H70">
        <v>15.33</v>
      </c>
      <c r="I70">
        <v>175</v>
      </c>
      <c r="J70">
        <v>164</v>
      </c>
      <c r="K70">
        <v>1827</v>
      </c>
      <c r="L70" s="2">
        <v>2.2685185185185182E-3</v>
      </c>
      <c r="M70" s="2">
        <v>1.6655092592592593E-2</v>
      </c>
      <c r="N70" s="2">
        <v>3.4907407407407408E-2</v>
      </c>
      <c r="O70" s="2">
        <v>7.7418981481481478E-2</v>
      </c>
      <c r="P70" s="2">
        <v>0</v>
      </c>
    </row>
    <row r="71" spans="1:16" x14ac:dyDescent="0.3">
      <c r="A71" s="1">
        <v>43590.905694444446</v>
      </c>
      <c r="B71" s="1">
        <v>43590.957361111112</v>
      </c>
      <c r="C71">
        <v>74.400000000000006</v>
      </c>
      <c r="D71" s="2">
        <v>5.1666666666666666E-2</v>
      </c>
      <c r="E71">
        <v>14.26</v>
      </c>
      <c r="F71" s="2">
        <v>3.6226851851851854E-3</v>
      </c>
      <c r="G71">
        <v>11.5</v>
      </c>
      <c r="H71">
        <v>15.39</v>
      </c>
      <c r="I71">
        <v>169</v>
      </c>
      <c r="J71">
        <v>152</v>
      </c>
      <c r="K71">
        <v>1164</v>
      </c>
      <c r="L71" s="2">
        <v>2.6967592592592594E-3</v>
      </c>
      <c r="M71" s="2">
        <v>1.6782407407407409E-2</v>
      </c>
      <c r="N71" s="2">
        <v>3.5208333333333335E-2</v>
      </c>
      <c r="O71" s="2">
        <v>0</v>
      </c>
      <c r="P71" s="2">
        <v>0</v>
      </c>
    </row>
    <row r="72" spans="1:16" x14ac:dyDescent="0.3">
      <c r="A72" s="1">
        <v>43595.690775462965</v>
      </c>
      <c r="B72" s="1">
        <v>43595.735266203701</v>
      </c>
      <c r="C72">
        <v>63.29</v>
      </c>
      <c r="D72" s="2">
        <v>4.3946759259259255E-2</v>
      </c>
      <c r="E72">
        <v>12.161</v>
      </c>
      <c r="F72" s="2">
        <v>3.6111111111111114E-3</v>
      </c>
      <c r="G72">
        <v>11.53</v>
      </c>
      <c r="H72">
        <v>14.94</v>
      </c>
      <c r="I72">
        <v>169</v>
      </c>
      <c r="J72">
        <v>158</v>
      </c>
      <c r="K72">
        <v>839</v>
      </c>
      <c r="L72" s="2">
        <v>3.0324074074074073E-3</v>
      </c>
      <c r="M72" s="2">
        <v>1.7060185185185185E-2</v>
      </c>
      <c r="N72" s="2">
        <v>3.5752314814814813E-2</v>
      </c>
      <c r="O72" s="2">
        <v>0</v>
      </c>
      <c r="P72" s="2">
        <v>0</v>
      </c>
    </row>
    <row r="73" spans="1:16" x14ac:dyDescent="0.3">
      <c r="A73" s="1">
        <v>43599.854733796295</v>
      </c>
      <c r="B73" s="1">
        <v>43599.897499999999</v>
      </c>
      <c r="C73">
        <v>60.56</v>
      </c>
      <c r="D73" s="2">
        <v>4.2048611111111113E-2</v>
      </c>
      <c r="E73">
        <v>11.385999999999999</v>
      </c>
      <c r="F73" s="2">
        <v>3.6921296296296298E-3</v>
      </c>
      <c r="G73">
        <v>11.28</v>
      </c>
      <c r="H73">
        <v>14.45</v>
      </c>
      <c r="I73">
        <v>175</v>
      </c>
      <c r="J73">
        <v>160</v>
      </c>
      <c r="K73">
        <v>869</v>
      </c>
      <c r="L73" s="2">
        <v>3.2291666666666666E-3</v>
      </c>
      <c r="M73" s="2">
        <v>1.7118055555555556E-2</v>
      </c>
      <c r="N73" s="2">
        <v>3.6412037037037034E-2</v>
      </c>
      <c r="O73" s="2">
        <v>0</v>
      </c>
      <c r="P73" s="2">
        <v>0</v>
      </c>
    </row>
    <row r="74" spans="1:16" x14ac:dyDescent="0.3">
      <c r="A74" s="1">
        <v>43604.040497685186</v>
      </c>
      <c r="B74" s="1">
        <v>43604.064918981479</v>
      </c>
      <c r="C74">
        <v>35.11</v>
      </c>
      <c r="D74" s="2">
        <v>2.4375000000000004E-2</v>
      </c>
      <c r="E74">
        <v>7.0880000000000001</v>
      </c>
      <c r="F74" s="2">
        <v>3.4375E-3</v>
      </c>
      <c r="G74">
        <v>12.11</v>
      </c>
      <c r="H74">
        <v>14.29</v>
      </c>
      <c r="I74">
        <v>173</v>
      </c>
      <c r="J74">
        <v>164</v>
      </c>
      <c r="K74">
        <v>498</v>
      </c>
      <c r="L74" s="2">
        <v>3.2060185185185191E-3</v>
      </c>
      <c r="M74" s="2">
        <v>1.6967592592592593E-2</v>
      </c>
      <c r="N74" s="2">
        <v>0</v>
      </c>
      <c r="O74" s="2">
        <v>0</v>
      </c>
      <c r="P74" s="2">
        <v>0</v>
      </c>
    </row>
    <row r="75" spans="1:16" x14ac:dyDescent="0.3">
      <c r="A75" s="1">
        <v>43606.939027777778</v>
      </c>
      <c r="B75" s="1">
        <v>43606.956342592595</v>
      </c>
      <c r="C75">
        <v>23.39</v>
      </c>
      <c r="D75" s="2">
        <v>1.6238425925925924E-2</v>
      </c>
      <c r="E75">
        <v>5.0620000000000003</v>
      </c>
      <c r="F75" s="2">
        <v>3.2060185185185191E-3</v>
      </c>
      <c r="G75">
        <v>12.98</v>
      </c>
      <c r="H75">
        <v>15.61</v>
      </c>
      <c r="I75">
        <v>171</v>
      </c>
      <c r="J75">
        <v>158</v>
      </c>
      <c r="K75">
        <v>355</v>
      </c>
      <c r="L75" s="2">
        <v>2.9745370370370373E-3</v>
      </c>
      <c r="M75" s="2">
        <v>1.5983796296296295E-2</v>
      </c>
      <c r="N75" s="2">
        <v>0</v>
      </c>
      <c r="O75" s="2">
        <v>0</v>
      </c>
      <c r="P75" s="2">
        <v>0</v>
      </c>
    </row>
    <row r="76" spans="1:16" x14ac:dyDescent="0.3">
      <c r="A76" s="1">
        <v>43606.956458333334</v>
      </c>
      <c r="B76" s="1">
        <v>43606.988900462966</v>
      </c>
      <c r="C76">
        <v>41.88</v>
      </c>
      <c r="D76" s="2">
        <v>2.9074074074074075E-2</v>
      </c>
      <c r="E76">
        <v>8.593</v>
      </c>
      <c r="F76" s="2">
        <v>3.37962962962963E-3</v>
      </c>
      <c r="G76">
        <v>12.31</v>
      </c>
      <c r="H76">
        <v>17.93</v>
      </c>
      <c r="I76">
        <v>168</v>
      </c>
      <c r="J76">
        <v>160</v>
      </c>
      <c r="K76">
        <v>592</v>
      </c>
      <c r="L76" s="2">
        <v>3.2291666666666666E-3</v>
      </c>
      <c r="M76" s="2">
        <v>1.6724537037037034E-2</v>
      </c>
      <c r="N76" s="2">
        <v>0</v>
      </c>
      <c r="O76" s="2">
        <v>0</v>
      </c>
      <c r="P76" s="2">
        <v>0</v>
      </c>
    </row>
    <row r="77" spans="1:16" x14ac:dyDescent="0.3">
      <c r="A77" s="1">
        <v>43615.984814814816</v>
      </c>
      <c r="B77" s="1">
        <v>43616.042673611111</v>
      </c>
      <c r="C77">
        <v>81.89</v>
      </c>
      <c r="D77" s="2">
        <v>5.6863425925925921E-2</v>
      </c>
      <c r="E77">
        <v>15.29</v>
      </c>
      <c r="F77" s="2">
        <v>3.7152777777777774E-3</v>
      </c>
      <c r="G77">
        <v>11.2</v>
      </c>
      <c r="H77">
        <v>16.350000000000001</v>
      </c>
      <c r="I77">
        <v>170</v>
      </c>
      <c r="J77">
        <v>157</v>
      </c>
      <c r="K77">
        <v>1069</v>
      </c>
      <c r="L77" s="2">
        <v>3.5069444444444445E-3</v>
      </c>
      <c r="M77" s="2">
        <v>1.8252314814814815E-2</v>
      </c>
      <c r="N77" s="2">
        <v>3.6967592592592594E-2</v>
      </c>
      <c r="O77" s="2">
        <v>0</v>
      </c>
      <c r="P77" s="2">
        <v>0</v>
      </c>
    </row>
    <row r="78" spans="1:16" x14ac:dyDescent="0.3">
      <c r="A78" s="1">
        <v>43621.941168981481</v>
      </c>
      <c r="B78" s="1">
        <v>43621.993784722225</v>
      </c>
      <c r="C78">
        <v>74.72</v>
      </c>
      <c r="D78" s="2">
        <v>5.1886574074074071E-2</v>
      </c>
      <c r="E78">
        <v>15.273</v>
      </c>
      <c r="F78" s="2">
        <v>3.3912037037037036E-3</v>
      </c>
      <c r="G78">
        <v>12.26</v>
      </c>
      <c r="H78">
        <v>15.5</v>
      </c>
      <c r="I78">
        <v>176</v>
      </c>
      <c r="J78">
        <v>169</v>
      </c>
      <c r="K78">
        <v>1077</v>
      </c>
      <c r="L78" s="2">
        <v>2.9282407407407412E-3</v>
      </c>
      <c r="M78" s="2">
        <v>1.5659722222222224E-2</v>
      </c>
      <c r="N78" s="2">
        <v>3.2627314814814817E-2</v>
      </c>
      <c r="O78" s="2">
        <v>0</v>
      </c>
      <c r="P78" s="2">
        <v>0</v>
      </c>
    </row>
    <row r="79" spans="1:16" x14ac:dyDescent="0.3">
      <c r="A79" s="1">
        <v>43627.921446759261</v>
      </c>
      <c r="B79" s="1">
        <v>43627.991967592592</v>
      </c>
      <c r="C79">
        <v>98.39</v>
      </c>
      <c r="D79" s="2">
        <v>6.8321759259259263E-2</v>
      </c>
      <c r="E79">
        <v>18.405999999999999</v>
      </c>
      <c r="F79" s="2">
        <v>3.7037037037037034E-3</v>
      </c>
      <c r="G79">
        <v>11.22</v>
      </c>
      <c r="H79">
        <v>14.43</v>
      </c>
      <c r="I79">
        <v>162</v>
      </c>
      <c r="J79">
        <v>147</v>
      </c>
      <c r="K79">
        <v>1271</v>
      </c>
      <c r="L79" s="2">
        <v>3.3912037037037036E-3</v>
      </c>
      <c r="M79" s="2">
        <v>1.7893518518518517E-2</v>
      </c>
      <c r="N79" s="2">
        <v>3.6030092592592593E-2</v>
      </c>
      <c r="O79" s="2">
        <v>0</v>
      </c>
      <c r="P79" s="2">
        <v>0</v>
      </c>
    </row>
    <row r="80" spans="1:16" x14ac:dyDescent="0.3">
      <c r="A80" s="1">
        <v>43631.963425925926</v>
      </c>
      <c r="B80" s="1">
        <v>43631.989803240744</v>
      </c>
      <c r="C80">
        <v>31.11</v>
      </c>
      <c r="D80" s="2">
        <v>2.1597222222222223E-2</v>
      </c>
      <c r="E80">
        <v>5.56</v>
      </c>
      <c r="F80" s="2">
        <v>3.8773148148148143E-3</v>
      </c>
      <c r="G80">
        <v>10.72</v>
      </c>
      <c r="H80">
        <v>17.739999999999998</v>
      </c>
      <c r="I80">
        <v>162</v>
      </c>
      <c r="J80">
        <v>143</v>
      </c>
      <c r="K80">
        <v>381</v>
      </c>
      <c r="L80" s="2">
        <v>3.5532407407407405E-3</v>
      </c>
      <c r="M80" s="2">
        <v>1.9375E-2</v>
      </c>
      <c r="N80" s="2">
        <v>0</v>
      </c>
      <c r="O80" s="2">
        <v>0</v>
      </c>
      <c r="P80" s="2">
        <v>0</v>
      </c>
    </row>
    <row r="81" spans="1:16" x14ac:dyDescent="0.3">
      <c r="A81" s="1">
        <v>43634.972210648149</v>
      </c>
      <c r="B81" s="1">
        <v>43635.014282407406</v>
      </c>
      <c r="C81">
        <v>60.05</v>
      </c>
      <c r="D81" s="2">
        <v>4.1689814814814818E-2</v>
      </c>
      <c r="E81">
        <v>12.154</v>
      </c>
      <c r="F81" s="2">
        <v>3.425925925925926E-3</v>
      </c>
      <c r="G81">
        <v>12.14</v>
      </c>
      <c r="H81">
        <v>15.48</v>
      </c>
      <c r="I81">
        <v>181</v>
      </c>
      <c r="J81">
        <v>158</v>
      </c>
      <c r="K81">
        <v>855</v>
      </c>
      <c r="L81" s="2">
        <v>2.8703703703703708E-3</v>
      </c>
      <c r="M81" s="2">
        <v>1.6643518518518519E-2</v>
      </c>
      <c r="N81" s="2">
        <v>3.3912037037037039E-2</v>
      </c>
      <c r="O81" s="2">
        <v>0</v>
      </c>
      <c r="P81" s="2">
        <v>0</v>
      </c>
    </row>
    <row r="82" spans="1:16" x14ac:dyDescent="0.3">
      <c r="A82" s="1">
        <v>43636.876793981479</v>
      </c>
      <c r="B82" s="1">
        <v>43636.914236111108</v>
      </c>
      <c r="C82">
        <v>53.88</v>
      </c>
      <c r="D82" s="2">
        <v>3.740740740740741E-2</v>
      </c>
      <c r="E82">
        <v>10.11</v>
      </c>
      <c r="F82" s="2">
        <v>3.6921296296296298E-3</v>
      </c>
      <c r="G82">
        <v>11.26</v>
      </c>
      <c r="H82">
        <v>13.65</v>
      </c>
      <c r="I82">
        <v>167</v>
      </c>
      <c r="J82">
        <v>154</v>
      </c>
      <c r="K82">
        <v>708</v>
      </c>
      <c r="L82" s="2">
        <v>3.3680555555555551E-3</v>
      </c>
      <c r="M82" s="2">
        <v>1.8113425925925925E-2</v>
      </c>
      <c r="N82" s="2">
        <v>3.6874999999999998E-2</v>
      </c>
      <c r="O82" s="2">
        <v>0</v>
      </c>
      <c r="P82" s="2">
        <v>0</v>
      </c>
    </row>
    <row r="83" spans="1:16" x14ac:dyDescent="0.3">
      <c r="A83" s="1">
        <v>43638.968495370369</v>
      </c>
      <c r="B83" s="1">
        <v>43638.998159722221</v>
      </c>
      <c r="C83">
        <v>42.69</v>
      </c>
      <c r="D83" s="2">
        <v>2.9641203703703701E-2</v>
      </c>
      <c r="E83">
        <v>8.2560000000000002</v>
      </c>
      <c r="F83" s="2">
        <v>3.5879629629629629E-3</v>
      </c>
      <c r="G83">
        <v>11.6</v>
      </c>
      <c r="H83">
        <v>14.55</v>
      </c>
      <c r="I83">
        <v>162</v>
      </c>
      <c r="J83">
        <v>153</v>
      </c>
      <c r="K83">
        <v>566</v>
      </c>
      <c r="L83" s="2">
        <v>3.3101851851851851E-3</v>
      </c>
      <c r="M83" s="2">
        <v>1.7870370370370373E-2</v>
      </c>
      <c r="N83" s="2">
        <v>0</v>
      </c>
      <c r="O83" s="2">
        <v>0</v>
      </c>
      <c r="P83" s="2">
        <v>0</v>
      </c>
    </row>
    <row r="84" spans="1:16" x14ac:dyDescent="0.3">
      <c r="A84" s="1">
        <v>43640.920127314814</v>
      </c>
      <c r="B84" s="1">
        <v>43640.967291666668</v>
      </c>
      <c r="C84">
        <v>65.62</v>
      </c>
      <c r="D84" s="2">
        <v>4.5567129629629631E-2</v>
      </c>
      <c r="E84">
        <v>13.208</v>
      </c>
      <c r="F84" s="2">
        <v>3.4490740740740745E-3</v>
      </c>
      <c r="G84">
        <v>12.08</v>
      </c>
      <c r="H84">
        <v>22.67</v>
      </c>
      <c r="I84">
        <v>177</v>
      </c>
      <c r="J84">
        <v>165</v>
      </c>
      <c r="K84">
        <v>948</v>
      </c>
      <c r="L84" s="2">
        <v>3.0787037037037037E-3</v>
      </c>
      <c r="M84" s="2">
        <v>1.6562500000000001E-2</v>
      </c>
      <c r="N84" s="2">
        <v>3.3622685185185179E-2</v>
      </c>
      <c r="O84" s="2">
        <v>0</v>
      </c>
      <c r="P84" s="2">
        <v>0</v>
      </c>
    </row>
    <row r="85" spans="1:16" x14ac:dyDescent="0.3">
      <c r="A85" s="1">
        <v>43645.964490740742</v>
      </c>
      <c r="B85" s="1">
        <v>43646.003761574073</v>
      </c>
      <c r="C85">
        <v>55.01</v>
      </c>
      <c r="D85" s="2">
        <v>3.8194444444444441E-2</v>
      </c>
      <c r="E85">
        <v>11.282</v>
      </c>
      <c r="F85" s="2">
        <v>3.37962962962963E-3</v>
      </c>
      <c r="G85">
        <v>12.3</v>
      </c>
      <c r="H85">
        <v>16.399999999999999</v>
      </c>
      <c r="I85">
        <v>167</v>
      </c>
      <c r="J85">
        <v>157</v>
      </c>
      <c r="K85">
        <v>769</v>
      </c>
      <c r="L85" s="2">
        <v>2.5810185185185185E-3</v>
      </c>
      <c r="M85" s="2">
        <v>1.6284722222222221E-2</v>
      </c>
      <c r="N85" s="2">
        <v>3.3819444444444451E-2</v>
      </c>
      <c r="O85" s="2">
        <v>0</v>
      </c>
      <c r="P85" s="2">
        <v>0</v>
      </c>
    </row>
    <row r="86" spans="1:16" x14ac:dyDescent="0.3">
      <c r="A86" s="1">
        <v>43646.876296296294</v>
      </c>
      <c r="B86" s="1">
        <v>43646.921817129631</v>
      </c>
      <c r="C86">
        <v>56.38</v>
      </c>
      <c r="D86" s="2">
        <v>3.9143518518518515E-2</v>
      </c>
      <c r="E86">
        <v>10.24</v>
      </c>
      <c r="F86" s="2">
        <v>3.8194444444444443E-3</v>
      </c>
      <c r="G86">
        <v>10.9</v>
      </c>
      <c r="H86">
        <v>14.16</v>
      </c>
      <c r="I86">
        <v>175</v>
      </c>
      <c r="J86">
        <v>158</v>
      </c>
      <c r="K86">
        <v>776</v>
      </c>
      <c r="L86" s="2">
        <v>3.4953703703703705E-3</v>
      </c>
      <c r="M86" s="2">
        <v>1.8912037037037036E-2</v>
      </c>
      <c r="N86" s="2">
        <v>3.8078703703703705E-2</v>
      </c>
      <c r="O86" s="2">
        <v>0</v>
      </c>
      <c r="P86" s="2">
        <v>0</v>
      </c>
    </row>
    <row r="87" spans="1:16" x14ac:dyDescent="0.3">
      <c r="A87" s="1">
        <v>43649.952048611114</v>
      </c>
      <c r="B87" s="1">
        <v>43649.991689814815</v>
      </c>
      <c r="C87">
        <v>57.08</v>
      </c>
      <c r="D87" s="2">
        <v>3.9629629629629633E-2</v>
      </c>
      <c r="E87">
        <v>10.145</v>
      </c>
      <c r="F87" s="2">
        <v>3.9004629629629632E-3</v>
      </c>
      <c r="G87">
        <v>10.66</v>
      </c>
      <c r="H87">
        <v>13.35</v>
      </c>
      <c r="I87">
        <v>165</v>
      </c>
      <c r="J87">
        <v>157</v>
      </c>
      <c r="K87">
        <v>778</v>
      </c>
      <c r="L87" s="2">
        <v>2.6620370370370374E-3</v>
      </c>
      <c r="M87" s="2">
        <v>1.832175925925926E-2</v>
      </c>
      <c r="N87" s="2">
        <v>3.8900462962962963E-2</v>
      </c>
      <c r="O87" s="2">
        <v>0</v>
      </c>
      <c r="P87" s="2">
        <v>0</v>
      </c>
    </row>
    <row r="88" spans="1:16" x14ac:dyDescent="0.3">
      <c r="A88" s="1">
        <v>43653.013692129629</v>
      </c>
      <c r="B88" s="1">
        <v>43653.05940972222</v>
      </c>
      <c r="C88">
        <v>63.34</v>
      </c>
      <c r="D88" s="2">
        <v>4.3981481481481483E-2</v>
      </c>
      <c r="E88">
        <v>12.099</v>
      </c>
      <c r="F88" s="2">
        <v>3.6342592592592594E-3</v>
      </c>
      <c r="G88">
        <v>11.46</v>
      </c>
      <c r="H88">
        <v>20.9</v>
      </c>
      <c r="I88">
        <v>169</v>
      </c>
      <c r="J88">
        <v>156</v>
      </c>
      <c r="K88">
        <v>886</v>
      </c>
      <c r="L88" s="2">
        <v>2.5694444444444445E-3</v>
      </c>
      <c r="M88" s="2">
        <v>1.7905092592592594E-2</v>
      </c>
      <c r="N88" s="2">
        <v>3.6157407407407409E-2</v>
      </c>
      <c r="O88" s="2">
        <v>0</v>
      </c>
      <c r="P88" s="2">
        <v>0</v>
      </c>
    </row>
    <row r="89" spans="1:16" x14ac:dyDescent="0.3">
      <c r="A89" s="1">
        <v>43657.920925925922</v>
      </c>
      <c r="B89" s="1">
        <v>43657.98710648148</v>
      </c>
      <c r="C89">
        <v>91.95</v>
      </c>
      <c r="D89" s="2">
        <v>6.385416666666667E-2</v>
      </c>
      <c r="E89">
        <v>18.056000000000001</v>
      </c>
      <c r="F89" s="2">
        <v>3.530092592592592E-3</v>
      </c>
      <c r="G89">
        <v>11.78</v>
      </c>
      <c r="H89">
        <v>14.82</v>
      </c>
      <c r="I89">
        <v>177</v>
      </c>
      <c r="J89">
        <v>163</v>
      </c>
      <c r="K89">
        <v>1281</v>
      </c>
      <c r="L89" s="2">
        <v>1.8171296296296297E-3</v>
      </c>
      <c r="M89" s="2">
        <v>1.5381944444444443E-2</v>
      </c>
      <c r="N89" s="2">
        <v>3.15625E-2</v>
      </c>
      <c r="O89" s="2">
        <v>0</v>
      </c>
      <c r="P89" s="2">
        <v>0</v>
      </c>
    </row>
    <row r="90" spans="1:16" x14ac:dyDescent="0.3">
      <c r="A90" s="1">
        <v>43663.947939814818</v>
      </c>
      <c r="B90" s="1">
        <v>43663.994803240741</v>
      </c>
      <c r="C90">
        <v>64.930000000000007</v>
      </c>
      <c r="D90" s="2">
        <v>4.5081018518518513E-2</v>
      </c>
      <c r="E90">
        <v>12.324</v>
      </c>
      <c r="F90" s="2">
        <v>3.6574074074074074E-3</v>
      </c>
      <c r="G90">
        <v>11.39</v>
      </c>
      <c r="H90">
        <v>24.34</v>
      </c>
      <c r="I90">
        <v>169</v>
      </c>
      <c r="J90">
        <v>150</v>
      </c>
      <c r="K90">
        <v>916</v>
      </c>
      <c r="L90" s="2">
        <v>3.2870370370370367E-3</v>
      </c>
      <c r="M90" s="2">
        <v>1.7361111111111112E-2</v>
      </c>
      <c r="N90" s="2">
        <v>3.6331018518518519E-2</v>
      </c>
      <c r="O90" s="2">
        <v>0</v>
      </c>
      <c r="P90" s="2">
        <v>0</v>
      </c>
    </row>
    <row r="91" spans="1:16" x14ac:dyDescent="0.3">
      <c r="A91" s="1">
        <v>43666.973738425928</v>
      </c>
      <c r="B91" s="1">
        <v>43667.022824074076</v>
      </c>
      <c r="C91">
        <v>65.06</v>
      </c>
      <c r="D91" s="2">
        <v>4.5173611111111116E-2</v>
      </c>
      <c r="E91">
        <v>13.026999999999999</v>
      </c>
      <c r="F91" s="2">
        <v>3.4606481481481485E-3</v>
      </c>
      <c r="G91">
        <v>12.01</v>
      </c>
      <c r="H91">
        <v>14.14</v>
      </c>
      <c r="I91">
        <v>167</v>
      </c>
      <c r="J91">
        <v>153</v>
      </c>
      <c r="K91">
        <v>949</v>
      </c>
      <c r="L91" s="2">
        <v>2.9976851851851848E-3</v>
      </c>
      <c r="M91" s="2">
        <v>1.5671296296296298E-2</v>
      </c>
      <c r="N91" s="2">
        <v>3.3020833333333333E-2</v>
      </c>
      <c r="O91" s="2">
        <v>0</v>
      </c>
      <c r="P91" s="2">
        <v>0</v>
      </c>
    </row>
    <row r="92" spans="1:16" x14ac:dyDescent="0.3">
      <c r="A92" s="1">
        <v>43668.919791666667</v>
      </c>
      <c r="B92" s="1">
        <v>43668.964861111112</v>
      </c>
      <c r="C92">
        <v>64.900000000000006</v>
      </c>
      <c r="D92" s="2">
        <v>4.5057870370370373E-2</v>
      </c>
      <c r="E92">
        <v>12.135</v>
      </c>
      <c r="F92" s="2">
        <v>3.7037037037037034E-3</v>
      </c>
      <c r="G92">
        <v>11.22</v>
      </c>
      <c r="H92">
        <v>16.95</v>
      </c>
      <c r="I92">
        <v>160</v>
      </c>
      <c r="J92">
        <v>144</v>
      </c>
      <c r="K92">
        <v>915</v>
      </c>
      <c r="L92" s="2">
        <v>3.0092592592592588E-3</v>
      </c>
      <c r="M92" s="2">
        <v>1.7627314814814814E-2</v>
      </c>
      <c r="N92" s="2">
        <v>3.6712962962962961E-2</v>
      </c>
      <c r="O92" s="2">
        <v>0</v>
      </c>
      <c r="P92" s="2">
        <v>0</v>
      </c>
    </row>
    <row r="93" spans="1:16" x14ac:dyDescent="0.3">
      <c r="A93" s="1">
        <v>43673.95417824074</v>
      </c>
      <c r="B93" s="1">
        <v>43674.002916666665</v>
      </c>
      <c r="C93">
        <v>53.83</v>
      </c>
      <c r="D93" s="2">
        <v>3.7372685185185189E-2</v>
      </c>
      <c r="E93">
        <v>10.005000000000001</v>
      </c>
      <c r="F93" s="2">
        <v>3.7268518518518514E-3</v>
      </c>
      <c r="G93">
        <v>11.15</v>
      </c>
      <c r="H93">
        <v>13.88</v>
      </c>
      <c r="I93">
        <v>150</v>
      </c>
      <c r="J93">
        <v>138</v>
      </c>
      <c r="K93">
        <v>749</v>
      </c>
      <c r="L93" s="2">
        <v>3.37962962962963E-3</v>
      </c>
      <c r="M93" s="2">
        <v>1.8101851851851852E-2</v>
      </c>
      <c r="N93" s="2">
        <v>3.7349537037037035E-2</v>
      </c>
      <c r="O93" s="2">
        <v>0</v>
      </c>
      <c r="P93" s="2">
        <v>0</v>
      </c>
    </row>
    <row r="94" spans="1:16" x14ac:dyDescent="0.3">
      <c r="A94" s="1">
        <v>43676.975995370369</v>
      </c>
      <c r="B94" s="1">
        <v>43677.027013888888</v>
      </c>
      <c r="C94">
        <v>71.459999999999994</v>
      </c>
      <c r="D94" s="2">
        <v>4.9618055555555561E-2</v>
      </c>
      <c r="E94">
        <v>13.023</v>
      </c>
      <c r="F94" s="2">
        <v>3.8078703703703707E-3</v>
      </c>
      <c r="G94">
        <v>10.93</v>
      </c>
      <c r="H94">
        <v>13.97</v>
      </c>
      <c r="I94">
        <v>166</v>
      </c>
      <c r="J94">
        <v>153</v>
      </c>
      <c r="K94">
        <v>1021</v>
      </c>
      <c r="L94" s="2">
        <v>3.4953703703703705E-3</v>
      </c>
      <c r="M94" s="2">
        <v>1.8402777777777778E-2</v>
      </c>
      <c r="N94" s="2">
        <v>3.7789351851851852E-2</v>
      </c>
      <c r="O94" s="2">
        <v>0</v>
      </c>
      <c r="P94" s="2">
        <v>0</v>
      </c>
    </row>
    <row r="95" spans="1:16" x14ac:dyDescent="0.3">
      <c r="A95" s="1">
        <v>43678.939918981479</v>
      </c>
      <c r="B95" s="1">
        <v>43678.978819444441</v>
      </c>
      <c r="C95">
        <v>56.02</v>
      </c>
      <c r="D95" s="2">
        <v>3.888888888888889E-2</v>
      </c>
      <c r="E95">
        <v>10.118</v>
      </c>
      <c r="F95" s="2">
        <v>3.8425925925925923E-3</v>
      </c>
      <c r="G95">
        <v>10.84</v>
      </c>
      <c r="H95">
        <v>13.9</v>
      </c>
      <c r="I95">
        <v>167</v>
      </c>
      <c r="J95">
        <v>155</v>
      </c>
      <c r="K95">
        <v>806</v>
      </c>
      <c r="L95" s="2">
        <v>3.37962962962963E-3</v>
      </c>
      <c r="M95" s="2">
        <v>1.8726851851851852E-2</v>
      </c>
      <c r="N95" s="2">
        <v>3.8368055555555551E-2</v>
      </c>
      <c r="O95" s="2">
        <v>0</v>
      </c>
      <c r="P95" s="2">
        <v>0</v>
      </c>
    </row>
    <row r="96" spans="1:16" x14ac:dyDescent="0.3">
      <c r="A96" s="1">
        <v>43682.901099537034</v>
      </c>
      <c r="B96" s="1">
        <v>43682.964328703703</v>
      </c>
      <c r="C96">
        <v>88.39</v>
      </c>
      <c r="D96" s="2">
        <v>6.1377314814814815E-2</v>
      </c>
      <c r="E96">
        <v>18.109000000000002</v>
      </c>
      <c r="F96" s="2">
        <v>3.37962962962963E-3</v>
      </c>
      <c r="G96">
        <v>12.29</v>
      </c>
      <c r="H96">
        <v>15.62</v>
      </c>
      <c r="I96">
        <v>183</v>
      </c>
      <c r="J96">
        <v>166</v>
      </c>
      <c r="K96">
        <v>1293</v>
      </c>
      <c r="L96" s="2">
        <v>2.8124999999999995E-3</v>
      </c>
      <c r="M96" s="2">
        <v>1.5486111111111112E-2</v>
      </c>
      <c r="N96" s="2">
        <v>3.1620370370370368E-2</v>
      </c>
      <c r="O96" s="2">
        <v>0</v>
      </c>
      <c r="P96" s="2">
        <v>0</v>
      </c>
    </row>
    <row r="97" spans="1:16" x14ac:dyDescent="0.3">
      <c r="A97" s="1">
        <v>43689.928703703707</v>
      </c>
      <c r="B97" s="1">
        <v>43689.974999999999</v>
      </c>
      <c r="C97">
        <v>66.67</v>
      </c>
      <c r="D97" s="2">
        <v>4.628472222222222E-2</v>
      </c>
      <c r="E97">
        <v>13.032</v>
      </c>
      <c r="F97" s="2">
        <v>3.5416666666666665E-3</v>
      </c>
      <c r="G97">
        <v>11.73</v>
      </c>
      <c r="H97">
        <v>17.82</v>
      </c>
      <c r="I97">
        <v>165</v>
      </c>
      <c r="J97">
        <v>149</v>
      </c>
      <c r="K97">
        <v>915</v>
      </c>
      <c r="L97" s="2">
        <v>1.8981481481481482E-3</v>
      </c>
      <c r="M97" s="2">
        <v>1.5150462962962963E-2</v>
      </c>
      <c r="N97" s="2">
        <v>3.3263888888888891E-2</v>
      </c>
      <c r="O97" s="2">
        <v>0</v>
      </c>
      <c r="P97" s="2">
        <v>0</v>
      </c>
    </row>
    <row r="98" spans="1:16" x14ac:dyDescent="0.3">
      <c r="A98" s="1">
        <v>43694.953703703701</v>
      </c>
      <c r="B98" s="1">
        <v>43694.961018518516</v>
      </c>
      <c r="C98">
        <v>10.53</v>
      </c>
      <c r="D98" s="2">
        <v>7.3032407407407412E-3</v>
      </c>
      <c r="E98">
        <v>2.0339999999999998</v>
      </c>
      <c r="F98" s="2">
        <v>3.5879629629629629E-3</v>
      </c>
      <c r="G98">
        <v>11.59</v>
      </c>
      <c r="H98">
        <v>13.23</v>
      </c>
      <c r="I98">
        <v>163</v>
      </c>
      <c r="J98">
        <v>148</v>
      </c>
      <c r="K98">
        <v>132</v>
      </c>
      <c r="L98" s="2">
        <v>3.0555555555555557E-3</v>
      </c>
      <c r="M98" s="2">
        <v>0</v>
      </c>
      <c r="N98" s="2">
        <v>0</v>
      </c>
      <c r="O98" s="2">
        <v>0</v>
      </c>
      <c r="P98" s="2">
        <v>0</v>
      </c>
    </row>
    <row r="99" spans="1:16" x14ac:dyDescent="0.3">
      <c r="A99" s="1">
        <v>43696.907094907408</v>
      </c>
      <c r="B99" s="1">
        <v>43696.967326388891</v>
      </c>
      <c r="C99">
        <v>86.05</v>
      </c>
      <c r="D99" s="2">
        <v>5.9756944444444439E-2</v>
      </c>
      <c r="E99">
        <v>17.006</v>
      </c>
      <c r="F99" s="2">
        <v>3.5069444444444445E-3</v>
      </c>
      <c r="G99">
        <v>11.86</v>
      </c>
      <c r="H99">
        <v>16.55</v>
      </c>
      <c r="I99">
        <v>172</v>
      </c>
      <c r="J99">
        <v>151</v>
      </c>
      <c r="K99">
        <v>1209</v>
      </c>
      <c r="L99" s="2">
        <v>2.3379629629629631E-3</v>
      </c>
      <c r="M99" s="2">
        <v>1.5879629629629629E-2</v>
      </c>
      <c r="N99" s="2">
        <v>3.3622685185185179E-2</v>
      </c>
      <c r="O99" s="2">
        <v>0</v>
      </c>
      <c r="P99" s="2">
        <v>0</v>
      </c>
    </row>
    <row r="100" spans="1:16" x14ac:dyDescent="0.3">
      <c r="A100" s="1">
        <v>43768.859236111108</v>
      </c>
      <c r="B100" s="1">
        <v>43768.900023148148</v>
      </c>
      <c r="C100">
        <v>58.73</v>
      </c>
      <c r="D100" s="2">
        <v>4.0787037037037038E-2</v>
      </c>
      <c r="E100">
        <v>10.255000000000001</v>
      </c>
      <c r="F100" s="2">
        <v>3.9699074074074072E-3</v>
      </c>
      <c r="G100">
        <v>10.48</v>
      </c>
      <c r="H100">
        <v>16.91</v>
      </c>
      <c r="I100">
        <v>180</v>
      </c>
      <c r="J100">
        <v>158</v>
      </c>
      <c r="K100">
        <v>804</v>
      </c>
      <c r="L100" s="2">
        <v>3.483796296296296E-3</v>
      </c>
      <c r="M100" s="2">
        <v>1.8819444444444448E-2</v>
      </c>
      <c r="N100" s="2">
        <v>3.9467592592592596E-2</v>
      </c>
      <c r="O100" s="2">
        <v>0</v>
      </c>
      <c r="P100" s="2">
        <v>0</v>
      </c>
    </row>
    <row r="101" spans="1:16" x14ac:dyDescent="0.3">
      <c r="A101" s="1">
        <v>43771.93409722222</v>
      </c>
      <c r="B101" s="1">
        <v>43771.974120370367</v>
      </c>
      <c r="C101">
        <v>52.83</v>
      </c>
      <c r="D101" s="2">
        <v>3.6689814814814821E-2</v>
      </c>
      <c r="E101">
        <v>9.1259999999999994</v>
      </c>
      <c r="F101" s="2">
        <v>4.0162037037037033E-3</v>
      </c>
      <c r="G101">
        <v>10.36</v>
      </c>
      <c r="H101">
        <v>20.260000000000002</v>
      </c>
      <c r="I101">
        <v>169</v>
      </c>
      <c r="J101">
        <v>159</v>
      </c>
      <c r="K101">
        <v>727</v>
      </c>
      <c r="L101" s="2">
        <v>3.8657407407407408E-3</v>
      </c>
      <c r="M101" s="2">
        <v>1.9745370370370371E-2</v>
      </c>
      <c r="N101" s="2">
        <v>0</v>
      </c>
      <c r="O101" s="2">
        <v>0</v>
      </c>
      <c r="P101" s="2">
        <v>0</v>
      </c>
    </row>
    <row r="102" spans="1:16" x14ac:dyDescent="0.3">
      <c r="A102" s="1">
        <v>43785.994432870371</v>
      </c>
      <c r="B102" s="1">
        <v>43786.037974537037</v>
      </c>
      <c r="C102">
        <v>60.08</v>
      </c>
      <c r="D102" s="2">
        <v>4.1712962962962959E-2</v>
      </c>
      <c r="E102">
        <v>11.058999999999999</v>
      </c>
      <c r="F102" s="2">
        <v>3.7615740740740739E-3</v>
      </c>
      <c r="G102">
        <v>11.04</v>
      </c>
      <c r="H102">
        <v>14</v>
      </c>
      <c r="I102">
        <v>171</v>
      </c>
      <c r="J102">
        <v>160</v>
      </c>
      <c r="K102">
        <v>851</v>
      </c>
      <c r="L102" s="2">
        <v>3.414351851851852E-3</v>
      </c>
      <c r="M102" s="2">
        <v>1.8715277777777779E-2</v>
      </c>
      <c r="N102" s="2">
        <v>3.7627314814814815E-2</v>
      </c>
      <c r="O102" s="2">
        <v>0</v>
      </c>
      <c r="P102" s="2">
        <v>0</v>
      </c>
    </row>
    <row r="103" spans="1:16" x14ac:dyDescent="0.3">
      <c r="A103" s="1">
        <v>43789.941805555558</v>
      </c>
      <c r="B103" s="1">
        <v>43789.992442129631</v>
      </c>
      <c r="C103">
        <v>72.3</v>
      </c>
      <c r="D103" s="2">
        <v>5.019675925925926E-2</v>
      </c>
      <c r="E103">
        <v>13.02</v>
      </c>
      <c r="F103" s="2">
        <v>3.8541666666666668E-3</v>
      </c>
      <c r="G103">
        <v>10.8</v>
      </c>
      <c r="H103">
        <v>14.59</v>
      </c>
      <c r="I103">
        <v>171</v>
      </c>
      <c r="J103">
        <v>163</v>
      </c>
      <c r="K103">
        <v>1021</v>
      </c>
      <c r="L103" s="2">
        <v>3.5416666666666665E-3</v>
      </c>
      <c r="M103" s="2">
        <v>1.8761574074074073E-2</v>
      </c>
      <c r="N103" s="2">
        <v>3.802083333333333E-2</v>
      </c>
      <c r="O103" s="2">
        <v>0</v>
      </c>
      <c r="P103" s="2">
        <v>0</v>
      </c>
    </row>
    <row r="104" spans="1:16" x14ac:dyDescent="0.3">
      <c r="A104" s="1">
        <v>43792.880509259259</v>
      </c>
      <c r="B104" s="1">
        <v>43792.945868055554</v>
      </c>
      <c r="C104">
        <v>90.73</v>
      </c>
      <c r="D104" s="2">
        <v>6.2997685185185184E-2</v>
      </c>
      <c r="E104">
        <v>17.013999999999999</v>
      </c>
      <c r="F104" s="2">
        <v>3.6921296296296298E-3</v>
      </c>
      <c r="G104">
        <v>11.25</v>
      </c>
      <c r="H104">
        <v>15.72</v>
      </c>
      <c r="I104">
        <v>178</v>
      </c>
      <c r="J104">
        <v>162</v>
      </c>
      <c r="K104">
        <v>1271</v>
      </c>
      <c r="L104" s="2">
        <v>3.2407407407407406E-3</v>
      </c>
      <c r="M104" s="2">
        <v>1.7141203703703704E-2</v>
      </c>
      <c r="N104" s="2">
        <v>3.5752314814814813E-2</v>
      </c>
      <c r="O104" s="2">
        <v>0</v>
      </c>
      <c r="P104" s="2">
        <v>0</v>
      </c>
    </row>
    <row r="105" spans="1:16" x14ac:dyDescent="0.3">
      <c r="A105" s="1">
        <v>43801.917847222219</v>
      </c>
      <c r="B105" s="1">
        <v>43801.956932870373</v>
      </c>
      <c r="C105">
        <v>55.31</v>
      </c>
      <c r="D105" s="2">
        <v>3.8402777777777779E-2</v>
      </c>
      <c r="E105">
        <v>11.278</v>
      </c>
      <c r="F105" s="2">
        <v>3.4027777777777784E-3</v>
      </c>
      <c r="G105">
        <v>12.23</v>
      </c>
      <c r="H105">
        <v>18.899999999999999</v>
      </c>
      <c r="I105">
        <v>178</v>
      </c>
      <c r="J105">
        <v>168</v>
      </c>
      <c r="K105">
        <v>786</v>
      </c>
      <c r="L105" s="2">
        <v>2.9513888888888888E-3</v>
      </c>
      <c r="M105" s="2">
        <v>1.6018518518518519E-2</v>
      </c>
      <c r="N105" s="2">
        <v>3.3483796296296296E-2</v>
      </c>
      <c r="O105" s="2">
        <v>0</v>
      </c>
      <c r="P105" s="2">
        <v>0</v>
      </c>
    </row>
    <row r="106" spans="1:16" x14ac:dyDescent="0.3">
      <c r="A106" s="1">
        <v>43805.004444444443</v>
      </c>
      <c r="B106" s="1">
        <v>43805.040289351855</v>
      </c>
      <c r="C106">
        <v>51.62</v>
      </c>
      <c r="D106" s="2">
        <v>3.5844907407407409E-2</v>
      </c>
      <c r="E106">
        <v>10.195</v>
      </c>
      <c r="F106" s="2">
        <v>3.5069444444444445E-3</v>
      </c>
      <c r="G106">
        <v>11.85</v>
      </c>
      <c r="H106">
        <v>16.68</v>
      </c>
      <c r="I106">
        <v>174</v>
      </c>
      <c r="J106">
        <v>164</v>
      </c>
      <c r="K106">
        <v>769</v>
      </c>
      <c r="L106" s="2">
        <v>3.2407407407407406E-3</v>
      </c>
      <c r="M106" s="2">
        <v>1.7037037037037038E-2</v>
      </c>
      <c r="N106" s="2">
        <v>3.5011574074074077E-2</v>
      </c>
      <c r="O106" s="2">
        <v>0</v>
      </c>
      <c r="P106" s="2">
        <v>0</v>
      </c>
    </row>
    <row r="107" spans="1:16" x14ac:dyDescent="0.3">
      <c r="A107" s="1">
        <v>43806.976331018515</v>
      </c>
      <c r="B107" s="1">
        <v>43807.003518518519</v>
      </c>
      <c r="C107">
        <v>35.229999999999997</v>
      </c>
      <c r="D107" s="2">
        <v>2.4456018518518519E-2</v>
      </c>
      <c r="E107">
        <v>6.2450000000000001</v>
      </c>
      <c r="F107" s="2">
        <v>3.9120370370370368E-3</v>
      </c>
      <c r="G107">
        <v>10.64</v>
      </c>
      <c r="H107">
        <v>14.99</v>
      </c>
      <c r="I107">
        <v>167</v>
      </c>
      <c r="J107">
        <v>153</v>
      </c>
      <c r="K107">
        <v>501</v>
      </c>
      <c r="L107" s="2">
        <v>3.7847222222222223E-3</v>
      </c>
      <c r="M107" s="2">
        <v>1.9456018518518518E-2</v>
      </c>
      <c r="N107" s="2">
        <v>0</v>
      </c>
      <c r="O107" s="2">
        <v>0</v>
      </c>
      <c r="P107" s="2">
        <v>0</v>
      </c>
    </row>
    <row r="108" spans="1:16" x14ac:dyDescent="0.3">
      <c r="A108" s="1">
        <v>43816.947418981479</v>
      </c>
      <c r="B108" s="1">
        <v>43816.986990740741</v>
      </c>
      <c r="C108">
        <v>56.31</v>
      </c>
      <c r="D108" s="2">
        <v>3.9097222222222221E-2</v>
      </c>
      <c r="E108">
        <v>12.045</v>
      </c>
      <c r="F108" s="2">
        <v>3.2407407407407406E-3</v>
      </c>
      <c r="G108">
        <v>12.83</v>
      </c>
      <c r="H108">
        <v>16.53</v>
      </c>
      <c r="I108">
        <v>179</v>
      </c>
      <c r="J108">
        <v>166</v>
      </c>
      <c r="K108">
        <v>843</v>
      </c>
      <c r="L108" s="2">
        <v>2.9745370370370373E-3</v>
      </c>
      <c r="M108" s="2">
        <v>1.545138888888889E-2</v>
      </c>
      <c r="N108" s="2">
        <v>3.1446759259259258E-2</v>
      </c>
      <c r="O108" s="2">
        <v>0</v>
      </c>
      <c r="P108" s="2">
        <v>0</v>
      </c>
    </row>
    <row r="109" spans="1:16" x14ac:dyDescent="0.3">
      <c r="A109" s="1">
        <v>43819.267997685187</v>
      </c>
      <c r="B109" s="1">
        <v>43819.335625</v>
      </c>
      <c r="C109">
        <v>97.19</v>
      </c>
      <c r="D109" s="2">
        <v>6.7488425925925924E-2</v>
      </c>
      <c r="E109">
        <v>18.007000000000001</v>
      </c>
      <c r="F109" s="2">
        <v>3.7384259259259263E-3</v>
      </c>
      <c r="G109">
        <v>11.12</v>
      </c>
      <c r="H109">
        <v>14.37</v>
      </c>
      <c r="I109">
        <v>181</v>
      </c>
      <c r="J109">
        <v>164</v>
      </c>
      <c r="K109">
        <v>1453</v>
      </c>
      <c r="L109" s="2">
        <v>3.4375E-3</v>
      </c>
      <c r="M109" s="2">
        <v>1.7824074074074076E-2</v>
      </c>
      <c r="N109" s="2">
        <v>3.6481481481481483E-2</v>
      </c>
      <c r="O109" s="2">
        <v>0</v>
      </c>
      <c r="P109" s="2">
        <v>0</v>
      </c>
    </row>
    <row r="110" spans="1:16" x14ac:dyDescent="0.3">
      <c r="A110" s="1">
        <v>43827.977569444447</v>
      </c>
      <c r="B110" s="1">
        <v>43828.022407407407</v>
      </c>
      <c r="C110">
        <v>64.569999999999993</v>
      </c>
      <c r="D110" s="2">
        <v>4.4826388888888895E-2</v>
      </c>
      <c r="E110">
        <v>12.023</v>
      </c>
      <c r="F110" s="2">
        <v>3.7268518518518514E-3</v>
      </c>
      <c r="G110">
        <v>11.17</v>
      </c>
      <c r="H110">
        <v>16.57</v>
      </c>
      <c r="I110">
        <v>170</v>
      </c>
      <c r="J110">
        <v>158</v>
      </c>
      <c r="K110">
        <v>886</v>
      </c>
      <c r="L110" s="2">
        <v>3.37962962962963E-3</v>
      </c>
      <c r="M110" s="2">
        <v>1.832175925925926E-2</v>
      </c>
      <c r="N110" s="2">
        <v>3.6967592592592594E-2</v>
      </c>
      <c r="O110" s="2">
        <v>0</v>
      </c>
      <c r="P110" s="2">
        <v>0</v>
      </c>
    </row>
    <row r="111" spans="1:16" x14ac:dyDescent="0.3">
      <c r="A111" s="1">
        <v>43832.977256944447</v>
      </c>
      <c r="B111" s="1">
        <v>43833.052141203705</v>
      </c>
      <c r="C111">
        <v>107.83</v>
      </c>
      <c r="D111" s="2">
        <v>7.4872685185185181E-2</v>
      </c>
      <c r="E111">
        <v>21.126999999999999</v>
      </c>
      <c r="F111" s="2">
        <v>3.5416666666666665E-3</v>
      </c>
      <c r="G111">
        <v>11.76</v>
      </c>
      <c r="H111">
        <v>14.21</v>
      </c>
      <c r="I111">
        <v>177</v>
      </c>
      <c r="J111">
        <v>163</v>
      </c>
      <c r="K111">
        <v>1624</v>
      </c>
      <c r="L111" s="2">
        <v>3.1944444444444442E-3</v>
      </c>
      <c r="M111" s="2">
        <v>1.6724537037037034E-2</v>
      </c>
      <c r="N111" s="2">
        <v>3.3692129629629627E-2</v>
      </c>
      <c r="O111" s="2">
        <v>7.4780092592592592E-2</v>
      </c>
      <c r="P111" s="2">
        <v>0</v>
      </c>
    </row>
    <row r="112" spans="1:16" x14ac:dyDescent="0.3">
      <c r="A112" s="1">
        <v>43835.925196759257</v>
      </c>
      <c r="B112" s="1">
        <v>43835.956388888888</v>
      </c>
      <c r="C112">
        <v>44.92</v>
      </c>
      <c r="D112" s="2">
        <v>3.1180555555555555E-2</v>
      </c>
      <c r="E112">
        <v>10.009</v>
      </c>
      <c r="F112" s="2">
        <v>3.1134259259259257E-3</v>
      </c>
      <c r="G112">
        <v>13.37</v>
      </c>
      <c r="H112">
        <v>17.190000000000001</v>
      </c>
      <c r="I112">
        <v>189</v>
      </c>
      <c r="J112">
        <v>175</v>
      </c>
      <c r="K112">
        <v>694</v>
      </c>
      <c r="L112" s="2">
        <v>2.9629629629629628E-3</v>
      </c>
      <c r="M112" s="2">
        <v>1.5335648148148147E-2</v>
      </c>
      <c r="N112" s="2">
        <v>3.1134259259259261E-2</v>
      </c>
      <c r="O112" s="2">
        <v>0</v>
      </c>
      <c r="P112" s="2">
        <v>0</v>
      </c>
    </row>
    <row r="113" spans="1:16" x14ac:dyDescent="0.3">
      <c r="A113" s="1">
        <v>43837.937199074076</v>
      </c>
      <c r="B113" s="1">
        <v>43837.98128472222</v>
      </c>
      <c r="C113">
        <v>63.48</v>
      </c>
      <c r="D113" s="2">
        <v>4.4074074074074071E-2</v>
      </c>
      <c r="E113">
        <v>13.004</v>
      </c>
      <c r="F113" s="2">
        <v>3.37962962962963E-3</v>
      </c>
      <c r="G113">
        <v>12.29</v>
      </c>
      <c r="H113">
        <v>14.97</v>
      </c>
      <c r="I113">
        <v>179</v>
      </c>
      <c r="J113">
        <v>163</v>
      </c>
      <c r="K113">
        <v>946</v>
      </c>
      <c r="L113" s="2">
        <v>2.8356481481481479E-3</v>
      </c>
      <c r="M113" s="2">
        <v>1.6458333333333332E-2</v>
      </c>
      <c r="N113" s="2">
        <v>3.3229166666666664E-2</v>
      </c>
      <c r="O113" s="2">
        <v>0</v>
      </c>
      <c r="P113" s="2">
        <v>0</v>
      </c>
    </row>
    <row r="114" spans="1:16" x14ac:dyDescent="0.3">
      <c r="A114" s="1">
        <v>43841.956250000003</v>
      </c>
      <c r="B114" s="1">
        <v>43842.010127314818</v>
      </c>
      <c r="C114">
        <v>77.58</v>
      </c>
      <c r="D114" s="2">
        <v>5.3865740740740742E-2</v>
      </c>
      <c r="E114">
        <v>15.227</v>
      </c>
      <c r="F114" s="2">
        <v>3.530092592592592E-3</v>
      </c>
      <c r="G114">
        <v>11.78</v>
      </c>
      <c r="H114">
        <v>14.32</v>
      </c>
      <c r="I114">
        <v>182</v>
      </c>
      <c r="J114">
        <v>166</v>
      </c>
      <c r="K114">
        <v>1151</v>
      </c>
      <c r="L114" s="2">
        <v>3.0092592592592588E-3</v>
      </c>
      <c r="M114" s="2">
        <v>1.638888888888889E-2</v>
      </c>
      <c r="N114" s="2">
        <v>3.4363425925925929E-2</v>
      </c>
      <c r="O114" s="2">
        <v>0</v>
      </c>
      <c r="P114" s="2">
        <v>0</v>
      </c>
    </row>
    <row r="115" spans="1:16" x14ac:dyDescent="0.3">
      <c r="A115" s="1">
        <v>43844.951921296299</v>
      </c>
      <c r="B115" s="1">
        <v>43845.000578703701</v>
      </c>
      <c r="C115">
        <v>70.069999999999993</v>
      </c>
      <c r="D115" s="2">
        <v>4.8645833333333333E-2</v>
      </c>
      <c r="E115">
        <v>14.186</v>
      </c>
      <c r="F115" s="2">
        <v>3.425925925925926E-3</v>
      </c>
      <c r="G115">
        <v>12.15</v>
      </c>
      <c r="H115">
        <v>14.49</v>
      </c>
      <c r="I115">
        <v>173</v>
      </c>
      <c r="J115">
        <v>159</v>
      </c>
      <c r="K115">
        <v>1054</v>
      </c>
      <c r="L115" s="2">
        <v>3.0092592592592588E-3</v>
      </c>
      <c r="M115" s="2">
        <v>1.6076388888888887E-2</v>
      </c>
      <c r="N115" s="2">
        <v>3.3217592592592597E-2</v>
      </c>
      <c r="O115" s="2">
        <v>0</v>
      </c>
      <c r="P115" s="2">
        <v>0</v>
      </c>
    </row>
    <row r="116" spans="1:16" x14ac:dyDescent="0.3">
      <c r="A116" s="1">
        <v>43852.884837962964</v>
      </c>
      <c r="B116" s="1">
        <v>43852.943958333337</v>
      </c>
      <c r="C116">
        <v>85.13</v>
      </c>
      <c r="D116" s="2">
        <v>5.9120370370370372E-2</v>
      </c>
      <c r="E116">
        <v>17.254999999999999</v>
      </c>
      <c r="F116" s="2">
        <v>3.425925925925926E-3</v>
      </c>
      <c r="G116">
        <v>12.16</v>
      </c>
      <c r="H116">
        <v>14.71</v>
      </c>
      <c r="I116">
        <v>181</v>
      </c>
      <c r="J116">
        <v>160</v>
      </c>
      <c r="K116">
        <v>1290</v>
      </c>
      <c r="L116" s="2">
        <v>2.8819444444444444E-3</v>
      </c>
      <c r="M116" s="2">
        <v>1.653935185185185E-2</v>
      </c>
      <c r="N116" s="2">
        <v>3.3275462962962958E-2</v>
      </c>
      <c r="O116" s="2">
        <v>0</v>
      </c>
      <c r="P116" s="2">
        <v>0</v>
      </c>
    </row>
    <row r="117" spans="1:16" x14ac:dyDescent="0.3">
      <c r="A117" s="1">
        <v>43855.889305555553</v>
      </c>
      <c r="B117" s="1">
        <v>43855.927731481483</v>
      </c>
      <c r="C117">
        <v>55.05</v>
      </c>
      <c r="D117" s="2">
        <v>3.8217592592592588E-2</v>
      </c>
      <c r="E117">
        <v>10.305</v>
      </c>
      <c r="F117" s="2">
        <v>3.7037037037037034E-3</v>
      </c>
      <c r="G117">
        <v>11.23</v>
      </c>
      <c r="H117">
        <v>18.329999999999998</v>
      </c>
      <c r="I117">
        <v>192</v>
      </c>
      <c r="J117">
        <v>174</v>
      </c>
      <c r="K117">
        <v>794</v>
      </c>
      <c r="L117" s="2">
        <v>3.3449074074074071E-3</v>
      </c>
      <c r="M117" s="2">
        <v>1.8067129629629631E-2</v>
      </c>
      <c r="N117" s="2">
        <v>3.7164351851851851E-2</v>
      </c>
      <c r="O117" s="2">
        <v>0</v>
      </c>
      <c r="P117" s="2">
        <v>0</v>
      </c>
    </row>
    <row r="118" spans="1:16" x14ac:dyDescent="0.3">
      <c r="A118" s="1">
        <v>43863.950300925928</v>
      </c>
      <c r="B118" s="1">
        <v>43864.011666666665</v>
      </c>
      <c r="C118">
        <v>87.45</v>
      </c>
      <c r="D118" s="2">
        <v>6.0729166666666667E-2</v>
      </c>
      <c r="E118">
        <v>18.012</v>
      </c>
      <c r="F118" s="2">
        <v>3.3680555555555551E-3</v>
      </c>
      <c r="G118">
        <v>12.36</v>
      </c>
      <c r="H118">
        <v>15.76</v>
      </c>
      <c r="I118">
        <v>187</v>
      </c>
      <c r="J118">
        <v>165</v>
      </c>
      <c r="K118">
        <v>1304</v>
      </c>
      <c r="L118" s="2">
        <v>2.9629629629629628E-3</v>
      </c>
      <c r="M118" s="2">
        <v>1.5092592592592593E-2</v>
      </c>
      <c r="N118" s="2">
        <v>3.1331018518518515E-2</v>
      </c>
      <c r="O118" s="2">
        <v>0</v>
      </c>
      <c r="P118" s="2">
        <v>0</v>
      </c>
    </row>
    <row r="119" spans="1:16" x14ac:dyDescent="0.3">
      <c r="A119" s="1">
        <v>43870.946458333332</v>
      </c>
      <c r="B119" s="1">
        <v>43870.98909722222</v>
      </c>
      <c r="C119">
        <v>61.4</v>
      </c>
      <c r="D119" s="2">
        <v>4.2627314814814819E-2</v>
      </c>
      <c r="E119">
        <v>12.007999999999999</v>
      </c>
      <c r="F119" s="2">
        <v>3.5416666666666665E-3</v>
      </c>
      <c r="G119">
        <v>11.73</v>
      </c>
      <c r="H119">
        <v>16.079999999999998</v>
      </c>
      <c r="I119">
        <v>174</v>
      </c>
      <c r="J119">
        <v>160</v>
      </c>
      <c r="K119">
        <v>863</v>
      </c>
      <c r="L119" s="2">
        <v>3.2407407407407406E-3</v>
      </c>
      <c r="M119" s="2">
        <v>1.6967592592592593E-2</v>
      </c>
      <c r="N119" s="2">
        <v>3.5081018518518518E-2</v>
      </c>
      <c r="O119" s="2">
        <v>0</v>
      </c>
      <c r="P119" s="2">
        <v>0</v>
      </c>
    </row>
    <row r="120" spans="1:16" x14ac:dyDescent="0.3">
      <c r="A120" s="1">
        <v>43873.968240740738</v>
      </c>
      <c r="B120" s="1">
        <v>43874.015868055554</v>
      </c>
      <c r="C120">
        <v>68.58</v>
      </c>
      <c r="D120" s="2">
        <v>4.7615740740740743E-2</v>
      </c>
      <c r="E120">
        <v>14.007</v>
      </c>
      <c r="F120" s="2">
        <v>3.3912037037037036E-3</v>
      </c>
      <c r="G120">
        <v>12.25</v>
      </c>
      <c r="H120">
        <v>15.49</v>
      </c>
      <c r="I120">
        <v>182</v>
      </c>
      <c r="J120">
        <v>172</v>
      </c>
      <c r="K120">
        <v>1031</v>
      </c>
      <c r="L120" s="2">
        <v>3.0555555555555557E-3</v>
      </c>
      <c r="M120" s="2">
        <v>1.6527777777777777E-2</v>
      </c>
      <c r="N120" s="2">
        <v>3.3414351851851855E-2</v>
      </c>
      <c r="O120" s="2">
        <v>0</v>
      </c>
      <c r="P120" s="2">
        <v>0</v>
      </c>
    </row>
    <row r="121" spans="1:16" x14ac:dyDescent="0.3">
      <c r="A121" s="1">
        <v>43876.930497685185</v>
      </c>
      <c r="B121" s="1">
        <v>43877.008391203701</v>
      </c>
      <c r="C121">
        <v>112.17</v>
      </c>
      <c r="D121" s="2">
        <v>7.7881944444444448E-2</v>
      </c>
      <c r="E121">
        <v>21.114999999999998</v>
      </c>
      <c r="F121" s="2">
        <v>3.6805555555555554E-3</v>
      </c>
      <c r="G121">
        <v>11.29</v>
      </c>
      <c r="H121">
        <v>14.02</v>
      </c>
      <c r="I121">
        <v>179</v>
      </c>
      <c r="J121">
        <v>167</v>
      </c>
      <c r="K121">
        <v>1639</v>
      </c>
      <c r="L121" s="2">
        <v>3.1249999999999997E-3</v>
      </c>
      <c r="M121" s="2">
        <v>1.7777777777777778E-2</v>
      </c>
      <c r="N121" s="2">
        <v>3.6203703703703703E-2</v>
      </c>
      <c r="O121" s="2">
        <v>7.7812499999999993E-2</v>
      </c>
      <c r="P121" s="2">
        <v>0</v>
      </c>
    </row>
    <row r="122" spans="1:16" x14ac:dyDescent="0.3">
      <c r="A122" s="1">
        <v>43884.946782407409</v>
      </c>
      <c r="B122" s="1">
        <v>43885.016006944446</v>
      </c>
      <c r="C122">
        <v>99.08</v>
      </c>
      <c r="D122" s="2">
        <v>6.87962962962963E-2</v>
      </c>
      <c r="E122">
        <v>21.114999999999998</v>
      </c>
      <c r="F122" s="2">
        <v>3.2523148148148151E-3</v>
      </c>
      <c r="G122">
        <v>12.79</v>
      </c>
      <c r="H122">
        <v>15.55</v>
      </c>
      <c r="I122">
        <v>173</v>
      </c>
      <c r="J122">
        <v>173</v>
      </c>
      <c r="K122">
        <v>1533</v>
      </c>
      <c r="L122" s="2">
        <v>3.0208333333333333E-3</v>
      </c>
      <c r="M122" s="2">
        <v>1.5613425925925926E-2</v>
      </c>
      <c r="N122" s="2">
        <v>3.1643518518518522E-2</v>
      </c>
      <c r="O122" s="2">
        <v>6.8726851851851858E-2</v>
      </c>
      <c r="P122" s="2">
        <v>0</v>
      </c>
    </row>
    <row r="123" spans="1:16" x14ac:dyDescent="0.3">
      <c r="A123" s="1">
        <v>43889.275127314817</v>
      </c>
      <c r="B123" s="1">
        <v>43889.351620370369</v>
      </c>
      <c r="C123">
        <v>110.15</v>
      </c>
      <c r="D123" s="2">
        <v>7.6481481481481484E-2</v>
      </c>
      <c r="E123">
        <v>21.654</v>
      </c>
      <c r="F123" s="2">
        <v>3.530092592592592E-3</v>
      </c>
      <c r="G123">
        <v>11.8</v>
      </c>
      <c r="H123">
        <v>20.420000000000002</v>
      </c>
      <c r="I123">
        <v>174</v>
      </c>
      <c r="J123">
        <v>151</v>
      </c>
      <c r="K123">
        <v>1615</v>
      </c>
      <c r="L123" s="2">
        <v>2.8935185185185188E-3</v>
      </c>
      <c r="M123" s="2">
        <v>1.5659722222222224E-2</v>
      </c>
      <c r="N123" s="2">
        <v>3.3437500000000002E-2</v>
      </c>
      <c r="O123" s="2">
        <v>7.4270833333333341E-2</v>
      </c>
      <c r="P123" s="2">
        <v>0</v>
      </c>
    </row>
    <row r="124" spans="1:16" x14ac:dyDescent="0.3">
      <c r="A124" s="1">
        <v>43890.865115740744</v>
      </c>
      <c r="B124" s="1">
        <v>43890.900740740741</v>
      </c>
      <c r="C124">
        <v>51.3</v>
      </c>
      <c r="D124" s="2">
        <v>3.5613425925925923E-2</v>
      </c>
      <c r="E124">
        <v>10.106999999999999</v>
      </c>
      <c r="F124" s="2">
        <v>3.5185185185185185E-3</v>
      </c>
      <c r="G124">
        <v>11.82</v>
      </c>
      <c r="H124">
        <v>15.13</v>
      </c>
      <c r="I124">
        <v>170</v>
      </c>
      <c r="J124">
        <v>161</v>
      </c>
      <c r="K124">
        <v>761</v>
      </c>
      <c r="L124" s="2">
        <v>3.2870370370370367E-3</v>
      </c>
      <c r="M124" s="2">
        <v>1.6944444444444443E-2</v>
      </c>
      <c r="N124" s="2">
        <v>3.515046296296296E-2</v>
      </c>
      <c r="O124" s="2">
        <v>0</v>
      </c>
      <c r="P124" s="2">
        <v>0</v>
      </c>
    </row>
    <row r="125" spans="1:16" x14ac:dyDescent="0.3">
      <c r="A125" s="1">
        <v>43892.898587962962</v>
      </c>
      <c r="B125" s="1">
        <v>43892.942696759259</v>
      </c>
      <c r="C125">
        <v>63.52</v>
      </c>
      <c r="D125" s="2">
        <v>4.4097222222222225E-2</v>
      </c>
      <c r="E125">
        <v>13.009</v>
      </c>
      <c r="F125" s="2">
        <v>3.37962962962963E-3</v>
      </c>
      <c r="G125">
        <v>12.29</v>
      </c>
      <c r="H125">
        <v>14.82</v>
      </c>
      <c r="I125">
        <v>188</v>
      </c>
      <c r="J125">
        <v>172</v>
      </c>
      <c r="K125">
        <v>946</v>
      </c>
      <c r="L125" s="2">
        <v>3.1365740740740742E-3</v>
      </c>
      <c r="M125" s="2">
        <v>1.6307870370370372E-2</v>
      </c>
      <c r="N125" s="2">
        <v>3.3391203703703708E-2</v>
      </c>
      <c r="O125" s="2">
        <v>0</v>
      </c>
      <c r="P125" s="2">
        <v>0</v>
      </c>
    </row>
    <row r="126" spans="1:16" x14ac:dyDescent="0.3">
      <c r="A126" s="1">
        <v>43897.931608796294</v>
      </c>
      <c r="B126" s="1">
        <v>43897.983541666668</v>
      </c>
      <c r="C126">
        <v>74.78</v>
      </c>
      <c r="D126" s="2">
        <v>5.1921296296296299E-2</v>
      </c>
      <c r="E126">
        <v>15.006</v>
      </c>
      <c r="F126" s="2">
        <v>3.4606481481481485E-3</v>
      </c>
      <c r="G126">
        <v>12.04</v>
      </c>
      <c r="H126">
        <v>16.88</v>
      </c>
      <c r="I126">
        <v>174</v>
      </c>
      <c r="J126">
        <v>165</v>
      </c>
      <c r="K126">
        <v>1118</v>
      </c>
      <c r="L126" s="2">
        <v>3.3217592592592591E-3</v>
      </c>
      <c r="M126" s="2">
        <v>1.681712962962963E-2</v>
      </c>
      <c r="N126" s="2">
        <v>3.3981481481481481E-2</v>
      </c>
      <c r="O126" s="2">
        <v>0</v>
      </c>
      <c r="P126" s="2">
        <v>0</v>
      </c>
    </row>
    <row r="127" spans="1:16" x14ac:dyDescent="0.3">
      <c r="A127" s="1">
        <v>43904.911238425928</v>
      </c>
      <c r="B127" s="1">
        <v>43904.96638888889</v>
      </c>
      <c r="C127">
        <v>78.84</v>
      </c>
      <c r="D127" s="2">
        <v>5.4745370370370368E-2</v>
      </c>
      <c r="E127">
        <v>15.007</v>
      </c>
      <c r="F127" s="2">
        <v>3.645833333333333E-3</v>
      </c>
      <c r="G127">
        <v>11.42</v>
      </c>
      <c r="H127">
        <v>17.04</v>
      </c>
      <c r="I127">
        <v>186</v>
      </c>
      <c r="J127">
        <v>160</v>
      </c>
      <c r="K127">
        <v>1143</v>
      </c>
      <c r="L127" s="2">
        <v>3.0439814814814821E-3</v>
      </c>
      <c r="M127" s="2">
        <v>1.7511574074074072E-2</v>
      </c>
      <c r="N127" s="2">
        <v>3.5555555555555556E-2</v>
      </c>
      <c r="O127" s="2">
        <v>0</v>
      </c>
      <c r="P127" s="2">
        <v>0</v>
      </c>
    </row>
    <row r="128" spans="1:16" x14ac:dyDescent="0.3">
      <c r="A128" s="1">
        <v>43908.899699074071</v>
      </c>
      <c r="B128" s="1">
        <v>43908.937361111108</v>
      </c>
      <c r="C128">
        <v>54.23</v>
      </c>
      <c r="D128" s="2">
        <v>3.7650462962962962E-2</v>
      </c>
      <c r="E128">
        <v>10.289</v>
      </c>
      <c r="F128" s="2">
        <v>3.6574074074074074E-3</v>
      </c>
      <c r="G128">
        <v>11.38</v>
      </c>
      <c r="H128">
        <v>15.82</v>
      </c>
      <c r="I128">
        <v>165</v>
      </c>
      <c r="J128">
        <v>150</v>
      </c>
      <c r="K128">
        <v>804</v>
      </c>
      <c r="L128" s="2">
        <v>3.3449074074074071E-3</v>
      </c>
      <c r="M128" s="2">
        <v>1.7696759259259259E-2</v>
      </c>
      <c r="N128" s="2">
        <v>3.622685185185185E-2</v>
      </c>
      <c r="O128" s="2">
        <v>0</v>
      </c>
      <c r="P128" s="2">
        <v>0</v>
      </c>
    </row>
    <row r="129" spans="1:16" x14ac:dyDescent="0.3">
      <c r="A129" s="1">
        <v>43911.880370370367</v>
      </c>
      <c r="B129" s="1">
        <v>43911.924571759257</v>
      </c>
      <c r="C129">
        <v>63.65</v>
      </c>
      <c r="D129" s="2">
        <v>4.4189814814814814E-2</v>
      </c>
      <c r="E129">
        <v>12.401999999999999</v>
      </c>
      <c r="F129" s="2">
        <v>3.5532407407407405E-3</v>
      </c>
      <c r="G129">
        <v>11.69</v>
      </c>
      <c r="H129">
        <v>17.11</v>
      </c>
      <c r="I129">
        <v>176</v>
      </c>
      <c r="J129">
        <v>168</v>
      </c>
      <c r="K129">
        <v>924</v>
      </c>
      <c r="L129" s="2">
        <v>3.3333333333333335E-3</v>
      </c>
      <c r="M129" s="2">
        <v>1.726851851851852E-2</v>
      </c>
      <c r="N129" s="2">
        <v>3.5208333333333335E-2</v>
      </c>
      <c r="O129" s="2">
        <v>0</v>
      </c>
      <c r="P129" s="2">
        <v>0</v>
      </c>
    </row>
    <row r="130" spans="1:16" x14ac:dyDescent="0.3">
      <c r="A130" s="1">
        <v>43913.878252314818</v>
      </c>
      <c r="B130" s="1">
        <v>43913.930324074077</v>
      </c>
      <c r="C130">
        <v>74.98</v>
      </c>
      <c r="D130" s="2">
        <v>5.2060185185185182E-2</v>
      </c>
      <c r="E130">
        <v>15.013999999999999</v>
      </c>
      <c r="F130" s="2">
        <v>3.4606481481481485E-3</v>
      </c>
      <c r="G130">
        <v>12.01</v>
      </c>
      <c r="H130">
        <v>14.93</v>
      </c>
      <c r="I130">
        <v>173</v>
      </c>
      <c r="J130">
        <v>163</v>
      </c>
      <c r="K130">
        <v>1152</v>
      </c>
      <c r="L130" s="2">
        <v>3.1597222222222222E-3</v>
      </c>
      <c r="M130" s="2">
        <v>1.6979166666666667E-2</v>
      </c>
      <c r="N130" s="2">
        <v>3.4178240740740738E-2</v>
      </c>
      <c r="O130" s="2">
        <v>0</v>
      </c>
      <c r="P130" s="2">
        <v>0</v>
      </c>
    </row>
    <row r="131" spans="1:16" x14ac:dyDescent="0.3">
      <c r="A131" s="1">
        <v>43918.986018518517</v>
      </c>
      <c r="B131" s="1">
        <v>43919.022557870368</v>
      </c>
      <c r="C131">
        <v>52.62</v>
      </c>
      <c r="D131" s="2">
        <v>3.6527777777777777E-2</v>
      </c>
      <c r="E131">
        <v>10.124000000000001</v>
      </c>
      <c r="F131" s="2">
        <v>3.5995370370370369E-3</v>
      </c>
      <c r="G131">
        <v>11.54</v>
      </c>
      <c r="H131">
        <v>13.66</v>
      </c>
      <c r="I131">
        <v>170</v>
      </c>
      <c r="J131">
        <v>159</v>
      </c>
      <c r="K131">
        <v>775</v>
      </c>
      <c r="L131" s="2">
        <v>3.472222222222222E-3</v>
      </c>
      <c r="M131" s="2">
        <v>1.7870370370370373E-2</v>
      </c>
      <c r="N131" s="2">
        <v>3.5960648148148151E-2</v>
      </c>
      <c r="O131" s="2">
        <v>0</v>
      </c>
      <c r="P131" s="2">
        <v>0</v>
      </c>
    </row>
    <row r="132" spans="1:16" x14ac:dyDescent="0.3">
      <c r="A132" s="1">
        <v>43920.867789351854</v>
      </c>
      <c r="B132" s="1">
        <v>43920.905682870369</v>
      </c>
      <c r="C132">
        <v>54.57</v>
      </c>
      <c r="D132" s="2">
        <v>3.788194444444444E-2</v>
      </c>
      <c r="E132">
        <v>10.038</v>
      </c>
      <c r="F132" s="2">
        <v>3.7731481481481483E-3</v>
      </c>
      <c r="G132">
        <v>11.04</v>
      </c>
      <c r="H132">
        <v>15.62</v>
      </c>
      <c r="I132">
        <v>164</v>
      </c>
      <c r="J132">
        <v>153</v>
      </c>
      <c r="K132">
        <v>827</v>
      </c>
      <c r="L132" s="2">
        <v>3.6574074074074074E-3</v>
      </c>
      <c r="M132" s="2">
        <v>1.8749999999999999E-2</v>
      </c>
      <c r="N132" s="2">
        <v>3.7673611111111109E-2</v>
      </c>
      <c r="O132" s="2">
        <v>0</v>
      </c>
      <c r="P132" s="2">
        <v>0</v>
      </c>
    </row>
    <row r="133" spans="1:16" x14ac:dyDescent="0.3">
      <c r="A133" s="1">
        <v>43926.892210648148</v>
      </c>
      <c r="B133" s="1">
        <v>43926.963148148148</v>
      </c>
      <c r="C133">
        <v>102.15</v>
      </c>
      <c r="D133" s="2">
        <v>7.0925925925925934E-2</v>
      </c>
      <c r="E133">
        <v>21.114999999999998</v>
      </c>
      <c r="F133" s="2">
        <v>3.3564814814814811E-3</v>
      </c>
      <c r="G133">
        <v>12.4</v>
      </c>
      <c r="H133">
        <v>14.78</v>
      </c>
      <c r="I133">
        <v>182</v>
      </c>
      <c r="J133">
        <v>168</v>
      </c>
      <c r="K133">
        <v>1620</v>
      </c>
      <c r="L133" s="2">
        <v>2.9629629629629628E-3</v>
      </c>
      <c r="M133" s="2">
        <v>1.5416666666666667E-2</v>
      </c>
      <c r="N133" s="2">
        <v>3.1469907407407412E-2</v>
      </c>
      <c r="O133" s="2">
        <v>7.0844907407407412E-2</v>
      </c>
      <c r="P133" s="2">
        <v>0</v>
      </c>
    </row>
    <row r="134" spans="1:16" x14ac:dyDescent="0.3">
      <c r="A134" s="1">
        <v>43928.91238425926</v>
      </c>
      <c r="B134" s="1">
        <v>43928.955243055556</v>
      </c>
      <c r="C134">
        <v>61.72</v>
      </c>
      <c r="D134" s="2">
        <v>4.2847222222222224E-2</v>
      </c>
      <c r="E134">
        <v>10.82</v>
      </c>
      <c r="F134" s="2">
        <v>3.9583333333333337E-3</v>
      </c>
      <c r="G134">
        <v>10.52</v>
      </c>
      <c r="H134">
        <v>13.99</v>
      </c>
      <c r="I134">
        <v>162</v>
      </c>
      <c r="J134">
        <v>145</v>
      </c>
      <c r="K134">
        <v>909</v>
      </c>
      <c r="L134" s="2">
        <v>3.5416666666666665E-3</v>
      </c>
      <c r="M134" s="2">
        <v>1.8854166666666665E-2</v>
      </c>
      <c r="N134" s="2">
        <v>3.9525462962962964E-2</v>
      </c>
      <c r="O134" s="2">
        <v>0</v>
      </c>
      <c r="P134" s="2">
        <v>0</v>
      </c>
    </row>
    <row r="135" spans="1:16" x14ac:dyDescent="0.3">
      <c r="A135" s="1">
        <v>43930.96166666667</v>
      </c>
      <c r="B135" s="1">
        <v>43930.998506944445</v>
      </c>
      <c r="C135">
        <v>53.05</v>
      </c>
      <c r="D135" s="2">
        <v>3.6828703703703704E-2</v>
      </c>
      <c r="E135">
        <v>10.016</v>
      </c>
      <c r="F135" s="2">
        <v>3.6689814814814814E-3</v>
      </c>
      <c r="G135">
        <v>11.33</v>
      </c>
      <c r="H135">
        <v>14.79</v>
      </c>
      <c r="I135">
        <v>174</v>
      </c>
      <c r="J135">
        <v>165</v>
      </c>
      <c r="K135">
        <v>813</v>
      </c>
      <c r="L135" s="2">
        <v>3.472222222222222E-3</v>
      </c>
      <c r="M135" s="2">
        <v>1.8229166666666668E-2</v>
      </c>
      <c r="N135" s="2">
        <v>3.6759259259259255E-2</v>
      </c>
      <c r="O135" s="2">
        <v>0</v>
      </c>
      <c r="P135" s="2">
        <v>0</v>
      </c>
    </row>
    <row r="136" spans="1:16" x14ac:dyDescent="0.3">
      <c r="A136" s="1">
        <v>43934.907430555555</v>
      </c>
      <c r="B136" s="1">
        <v>43934.945601851854</v>
      </c>
      <c r="C136">
        <v>54.97</v>
      </c>
      <c r="D136" s="2">
        <v>3.8171296296296293E-2</v>
      </c>
      <c r="E136">
        <v>10.083</v>
      </c>
      <c r="F136" s="2">
        <v>3.7847222222222223E-3</v>
      </c>
      <c r="G136">
        <v>11.01</v>
      </c>
      <c r="H136">
        <v>13.81</v>
      </c>
      <c r="I136">
        <v>167</v>
      </c>
      <c r="J136">
        <v>149</v>
      </c>
      <c r="K136">
        <v>838</v>
      </c>
      <c r="L136" s="2">
        <v>3.6805555555555554E-3</v>
      </c>
      <c r="M136" s="2">
        <v>1.8738425925925926E-2</v>
      </c>
      <c r="N136" s="2">
        <v>3.7800925925925925E-2</v>
      </c>
      <c r="O136" s="2">
        <v>0</v>
      </c>
      <c r="P136" s="2">
        <v>0</v>
      </c>
    </row>
    <row r="137" spans="1:16" x14ac:dyDescent="0.3">
      <c r="A137" s="1">
        <v>43937.87667824074</v>
      </c>
      <c r="B137" s="1">
        <v>43937.912430555552</v>
      </c>
      <c r="C137">
        <v>51.48</v>
      </c>
      <c r="D137" s="2">
        <v>3.5740740740740747E-2</v>
      </c>
      <c r="E137">
        <v>10.106</v>
      </c>
      <c r="F137" s="2">
        <v>3.530092592592592E-3</v>
      </c>
      <c r="G137">
        <v>11.78</v>
      </c>
      <c r="H137">
        <v>14.47</v>
      </c>
      <c r="I137">
        <v>165</v>
      </c>
      <c r="J137">
        <v>153</v>
      </c>
      <c r="K137">
        <v>810</v>
      </c>
      <c r="L137" s="2">
        <v>3.3564814814814811E-3</v>
      </c>
      <c r="M137" s="2">
        <v>1.7152777777777777E-2</v>
      </c>
      <c r="N137" s="2">
        <v>3.5312500000000004E-2</v>
      </c>
      <c r="O137" s="2">
        <v>0</v>
      </c>
      <c r="P137" s="2">
        <v>0</v>
      </c>
    </row>
    <row r="138" spans="1:16" x14ac:dyDescent="0.3">
      <c r="A138" s="1">
        <v>43939.971261574072</v>
      </c>
      <c r="B138" s="1">
        <v>43940.015266203707</v>
      </c>
      <c r="C138">
        <v>63.37</v>
      </c>
      <c r="D138" s="2">
        <v>4.3993055555555556E-2</v>
      </c>
      <c r="E138">
        <v>12.115</v>
      </c>
      <c r="F138" s="2">
        <v>3.6226851851851854E-3</v>
      </c>
      <c r="G138">
        <v>11.47</v>
      </c>
      <c r="H138">
        <v>15.07</v>
      </c>
      <c r="I138">
        <v>174</v>
      </c>
      <c r="J138">
        <v>152</v>
      </c>
      <c r="K138">
        <v>921</v>
      </c>
      <c r="L138" s="2">
        <v>3.5069444444444445E-3</v>
      </c>
      <c r="M138" s="2">
        <v>1.7974537037037035E-2</v>
      </c>
      <c r="N138" s="2">
        <v>3.6307870370370372E-2</v>
      </c>
      <c r="O138" s="2">
        <v>0</v>
      </c>
      <c r="P138" s="2">
        <v>0</v>
      </c>
    </row>
    <row r="139" spans="1:16" x14ac:dyDescent="0.3">
      <c r="A139" s="1">
        <v>43942.91946759259</v>
      </c>
      <c r="B139" s="1">
        <v>43942.95784722222</v>
      </c>
      <c r="C139">
        <v>55.27</v>
      </c>
      <c r="D139" s="2">
        <v>3.8368055555555551E-2</v>
      </c>
      <c r="E139">
        <v>10.548999999999999</v>
      </c>
      <c r="F139" s="2">
        <v>3.6342592592592594E-3</v>
      </c>
      <c r="G139">
        <v>11.45</v>
      </c>
      <c r="H139">
        <v>13.7</v>
      </c>
      <c r="I139">
        <v>166</v>
      </c>
      <c r="J139">
        <v>150</v>
      </c>
      <c r="K139">
        <v>810</v>
      </c>
      <c r="L139" s="2">
        <v>3.483796296296296E-3</v>
      </c>
      <c r="M139" s="2">
        <v>1.8090277777777778E-2</v>
      </c>
      <c r="N139" s="2">
        <v>3.6273148148148145E-2</v>
      </c>
      <c r="O139" s="2">
        <v>0</v>
      </c>
      <c r="P139" s="2">
        <v>0</v>
      </c>
    </row>
    <row r="140" spans="1:16" x14ac:dyDescent="0.3">
      <c r="A140" s="1">
        <v>43944.888981481483</v>
      </c>
      <c r="B140" s="1">
        <v>43944.932523148149</v>
      </c>
      <c r="C140">
        <v>62.7</v>
      </c>
      <c r="D140" s="2">
        <v>4.3530092592592599E-2</v>
      </c>
      <c r="E140">
        <v>12.013</v>
      </c>
      <c r="F140" s="2">
        <v>3.6226851851851854E-3</v>
      </c>
      <c r="G140">
        <v>11.5</v>
      </c>
      <c r="H140">
        <v>13.98</v>
      </c>
      <c r="I140">
        <v>164</v>
      </c>
      <c r="J140">
        <v>153</v>
      </c>
      <c r="K140">
        <v>913</v>
      </c>
      <c r="L140" s="2">
        <v>3.4375E-3</v>
      </c>
      <c r="M140" s="2">
        <v>1.7627314814814814E-2</v>
      </c>
      <c r="N140" s="2">
        <v>3.6006944444444446E-2</v>
      </c>
      <c r="O140" s="2">
        <v>0</v>
      </c>
      <c r="P140" s="2">
        <v>0</v>
      </c>
    </row>
    <row r="141" spans="1:16" x14ac:dyDescent="0.3">
      <c r="A141" s="1">
        <v>43946.981840277775</v>
      </c>
      <c r="B141" s="1">
        <v>43947.018969907411</v>
      </c>
      <c r="C141">
        <v>53.47</v>
      </c>
      <c r="D141" s="2">
        <v>3.7118055555555557E-2</v>
      </c>
      <c r="E141">
        <v>10.035</v>
      </c>
      <c r="F141" s="2">
        <v>3.6921296296296298E-3</v>
      </c>
      <c r="G141">
        <v>11.26</v>
      </c>
      <c r="H141">
        <v>13.58</v>
      </c>
      <c r="I141">
        <v>165</v>
      </c>
      <c r="J141">
        <v>150</v>
      </c>
      <c r="K141">
        <v>768</v>
      </c>
      <c r="L141" s="2">
        <v>3.5763888888888894E-3</v>
      </c>
      <c r="M141" s="2">
        <v>1.8252314814814815E-2</v>
      </c>
      <c r="N141" s="2">
        <v>3.6967592592592594E-2</v>
      </c>
      <c r="O141" s="2">
        <v>0</v>
      </c>
      <c r="P141" s="2">
        <v>0</v>
      </c>
    </row>
    <row r="142" spans="1:16" x14ac:dyDescent="0.3">
      <c r="A142" s="1">
        <v>43949.909861111111</v>
      </c>
      <c r="B142" s="1">
        <v>43949.946967592594</v>
      </c>
      <c r="C142">
        <v>53.43</v>
      </c>
      <c r="D142" s="2">
        <v>3.7094907407407403E-2</v>
      </c>
      <c r="E142">
        <v>10.087</v>
      </c>
      <c r="F142" s="2">
        <v>3.6689814814814814E-3</v>
      </c>
      <c r="G142">
        <v>11.33</v>
      </c>
      <c r="H142">
        <v>13.46</v>
      </c>
      <c r="I142">
        <v>170</v>
      </c>
      <c r="J142">
        <v>147</v>
      </c>
      <c r="K142">
        <v>757</v>
      </c>
      <c r="L142" s="2">
        <v>3.5185185185185185E-3</v>
      </c>
      <c r="M142" s="2">
        <v>1.8113425925925925E-2</v>
      </c>
      <c r="N142" s="2">
        <v>3.6747685185185182E-2</v>
      </c>
      <c r="O142" s="2">
        <v>0</v>
      </c>
      <c r="P142" s="2">
        <v>0</v>
      </c>
    </row>
    <row r="143" spans="1:16" x14ac:dyDescent="0.3">
      <c r="A143" s="1">
        <v>43951.879502314812</v>
      </c>
      <c r="B143" s="1">
        <v>43951.916377314818</v>
      </c>
      <c r="C143">
        <v>53.1</v>
      </c>
      <c r="D143" s="2">
        <v>3.6874999999999998E-2</v>
      </c>
      <c r="E143">
        <v>10.362</v>
      </c>
      <c r="F143" s="2">
        <v>3.5532407407407405E-3</v>
      </c>
      <c r="G143">
        <v>11.71</v>
      </c>
      <c r="H143">
        <v>16.61</v>
      </c>
      <c r="I143">
        <v>164</v>
      </c>
      <c r="J143">
        <v>140</v>
      </c>
      <c r="K143">
        <v>733</v>
      </c>
      <c r="L143" s="2">
        <v>3.2870370370370367E-3</v>
      </c>
      <c r="M143" s="2">
        <v>1.7407407407407406E-2</v>
      </c>
      <c r="N143" s="2">
        <v>3.5416666666666666E-2</v>
      </c>
      <c r="O143" s="2">
        <v>0</v>
      </c>
      <c r="P143" s="2">
        <v>0</v>
      </c>
    </row>
    <row r="144" spans="1:16" x14ac:dyDescent="0.3">
      <c r="A144" s="1">
        <v>43953.961064814815</v>
      </c>
      <c r="B144" s="1">
        <v>43953.998078703706</v>
      </c>
      <c r="C144">
        <v>53.3</v>
      </c>
      <c r="D144" s="2">
        <v>3.7002314814814814E-2</v>
      </c>
      <c r="E144">
        <v>10.013</v>
      </c>
      <c r="F144" s="2">
        <v>3.6921296296296298E-3</v>
      </c>
      <c r="G144">
        <v>11.27</v>
      </c>
      <c r="H144">
        <v>13.39</v>
      </c>
      <c r="I144">
        <v>153</v>
      </c>
      <c r="J144">
        <v>145</v>
      </c>
      <c r="K144">
        <v>788</v>
      </c>
      <c r="L144" s="2">
        <v>3.530092592592592E-3</v>
      </c>
      <c r="M144" s="2">
        <v>1.8206018518518517E-2</v>
      </c>
      <c r="N144" s="2">
        <v>3.6944444444444446E-2</v>
      </c>
      <c r="O144" s="2">
        <v>0</v>
      </c>
      <c r="P144" s="2">
        <v>0</v>
      </c>
    </row>
    <row r="145" spans="1:16" x14ac:dyDescent="0.3">
      <c r="A145" s="1">
        <v>43955.899502314816</v>
      </c>
      <c r="B145" s="1">
        <v>43955.935358796298</v>
      </c>
      <c r="C145">
        <v>51.63</v>
      </c>
      <c r="D145" s="2">
        <v>3.5844907407407409E-2</v>
      </c>
      <c r="E145">
        <v>10.013999999999999</v>
      </c>
      <c r="F145" s="2">
        <v>3.5763888888888894E-3</v>
      </c>
      <c r="G145">
        <v>11.64</v>
      </c>
      <c r="H145">
        <v>13.86</v>
      </c>
      <c r="I145">
        <v>163</v>
      </c>
      <c r="J145">
        <v>149</v>
      </c>
      <c r="K145">
        <v>760</v>
      </c>
      <c r="L145" s="2">
        <v>3.2407407407407406E-3</v>
      </c>
      <c r="M145" s="2">
        <v>1.7465277777777777E-2</v>
      </c>
      <c r="N145" s="2">
        <v>3.5787037037037034E-2</v>
      </c>
      <c r="O145" s="2">
        <v>0</v>
      </c>
      <c r="P145" s="2">
        <v>0</v>
      </c>
    </row>
    <row r="146" spans="1:16" x14ac:dyDescent="0.3">
      <c r="A146" s="1">
        <v>43957.858032407406</v>
      </c>
      <c r="B146" s="1">
        <v>43957.892187500001</v>
      </c>
      <c r="C146">
        <v>49.18</v>
      </c>
      <c r="D146" s="2">
        <v>3.4143518518518517E-2</v>
      </c>
      <c r="E146">
        <v>10.015000000000001</v>
      </c>
      <c r="F146" s="2">
        <v>3.4027777777777784E-3</v>
      </c>
      <c r="G146">
        <v>12.22</v>
      </c>
      <c r="H146">
        <v>15.43</v>
      </c>
      <c r="I146">
        <v>167</v>
      </c>
      <c r="J146">
        <v>161</v>
      </c>
      <c r="K146">
        <v>720</v>
      </c>
      <c r="L146" s="2">
        <v>3.1597222222222222E-3</v>
      </c>
      <c r="M146" s="2">
        <v>1.6516203703703703E-2</v>
      </c>
      <c r="N146" s="2">
        <v>3.4062500000000002E-2</v>
      </c>
      <c r="O146" s="2">
        <v>0</v>
      </c>
      <c r="P146" s="2">
        <v>0</v>
      </c>
    </row>
    <row r="147" spans="1:16" x14ac:dyDescent="0.3">
      <c r="A147" s="1">
        <v>43960.961354166669</v>
      </c>
      <c r="B147" s="1">
        <v>43961.015520833331</v>
      </c>
      <c r="C147">
        <v>78</v>
      </c>
      <c r="D147" s="2">
        <v>5.4155092592592595E-2</v>
      </c>
      <c r="E147">
        <v>15.052</v>
      </c>
      <c r="F147" s="2">
        <v>3.5879629629629629E-3</v>
      </c>
      <c r="G147">
        <v>11.58</v>
      </c>
      <c r="H147">
        <v>13.98</v>
      </c>
      <c r="I147">
        <v>162</v>
      </c>
      <c r="J147">
        <v>149</v>
      </c>
      <c r="K147">
        <v>1161</v>
      </c>
      <c r="L147" s="2">
        <v>3.425925925925926E-3</v>
      </c>
      <c r="M147" s="2">
        <v>1.7696759259259259E-2</v>
      </c>
      <c r="N147" s="2">
        <v>3.5844907407407409E-2</v>
      </c>
      <c r="O147" s="2">
        <v>0</v>
      </c>
      <c r="P147" s="2">
        <v>0</v>
      </c>
    </row>
    <row r="148" spans="1:16" x14ac:dyDescent="0.3">
      <c r="A148" s="1">
        <v>43963.934502314813</v>
      </c>
      <c r="B148" s="1">
        <v>43963.971516203703</v>
      </c>
      <c r="C148">
        <v>53.3</v>
      </c>
      <c r="D148" s="2">
        <v>3.7002314814814814E-2</v>
      </c>
      <c r="E148">
        <v>10.214</v>
      </c>
      <c r="F148" s="2">
        <v>3.6226851851851854E-3</v>
      </c>
      <c r="G148">
        <v>11.5</v>
      </c>
      <c r="H148">
        <v>13.72</v>
      </c>
      <c r="I148">
        <v>163</v>
      </c>
      <c r="J148">
        <v>137</v>
      </c>
      <c r="K148">
        <v>796</v>
      </c>
      <c r="L148" s="2">
        <v>3.3680555555555551E-3</v>
      </c>
      <c r="M148" s="2">
        <v>1.7754629629629631E-2</v>
      </c>
      <c r="N148" s="2">
        <v>3.6145833333333328E-2</v>
      </c>
      <c r="O148" s="2">
        <v>0</v>
      </c>
      <c r="P148" s="2">
        <v>0</v>
      </c>
    </row>
    <row r="149" spans="1:16" x14ac:dyDescent="0.3">
      <c r="A149" s="1">
        <v>43965.894409722219</v>
      </c>
      <c r="B149" s="1">
        <v>43965.924490740741</v>
      </c>
      <c r="C149">
        <v>43.32</v>
      </c>
      <c r="D149" s="2">
        <v>3.0081018518518521E-2</v>
      </c>
      <c r="E149">
        <v>8.0370000000000008</v>
      </c>
      <c r="F149" s="2">
        <v>3.7384259259259263E-3</v>
      </c>
      <c r="G149">
        <v>11.13</v>
      </c>
      <c r="H149">
        <v>13.89</v>
      </c>
      <c r="I149">
        <v>155</v>
      </c>
      <c r="J149">
        <v>145</v>
      </c>
      <c r="K149">
        <v>630</v>
      </c>
      <c r="L149" s="2">
        <v>3.5879629629629629E-3</v>
      </c>
      <c r="M149" s="2">
        <v>1.8460648148148146E-2</v>
      </c>
      <c r="N149" s="2">
        <v>0</v>
      </c>
      <c r="O149" s="2">
        <v>0</v>
      </c>
      <c r="P149" s="2">
        <v>0</v>
      </c>
    </row>
    <row r="150" spans="1:16" x14ac:dyDescent="0.3">
      <c r="A150" s="1">
        <v>43967.960960648146</v>
      </c>
      <c r="B150" s="1">
        <v>43967.997523148151</v>
      </c>
      <c r="C150">
        <v>52.65</v>
      </c>
      <c r="D150" s="2">
        <v>3.6550925925925924E-2</v>
      </c>
      <c r="E150">
        <v>10.013</v>
      </c>
      <c r="F150" s="2">
        <v>3.645833333333333E-3</v>
      </c>
      <c r="G150">
        <v>11.41</v>
      </c>
      <c r="H150">
        <v>13.79</v>
      </c>
      <c r="I150">
        <v>167</v>
      </c>
      <c r="J150">
        <v>156</v>
      </c>
      <c r="K150">
        <v>770</v>
      </c>
      <c r="L150" s="2">
        <v>3.483796296296296E-3</v>
      </c>
      <c r="M150" s="2">
        <v>1.7870370370370373E-2</v>
      </c>
      <c r="N150" s="2">
        <v>3.6469907407407402E-2</v>
      </c>
      <c r="O150" s="2">
        <v>0</v>
      </c>
      <c r="P150" s="2">
        <v>0</v>
      </c>
    </row>
    <row r="151" spans="1:16" x14ac:dyDescent="0.3">
      <c r="A151" s="1">
        <v>43969.890092592592</v>
      </c>
      <c r="B151" s="1">
        <v>43969.927303240744</v>
      </c>
      <c r="C151">
        <v>53.58</v>
      </c>
      <c r="D151" s="2">
        <v>3.7199074074074072E-2</v>
      </c>
      <c r="E151">
        <v>10.180999999999999</v>
      </c>
      <c r="F151" s="2">
        <v>3.645833333333333E-3</v>
      </c>
      <c r="G151">
        <v>11.4</v>
      </c>
      <c r="H151">
        <v>14.72</v>
      </c>
      <c r="I151">
        <v>162</v>
      </c>
      <c r="J151">
        <v>147</v>
      </c>
      <c r="K151">
        <v>764</v>
      </c>
      <c r="L151" s="2">
        <v>3.4375E-3</v>
      </c>
      <c r="M151" s="2">
        <v>1.7858796296296296E-2</v>
      </c>
      <c r="N151" s="2">
        <v>3.6377314814814814E-2</v>
      </c>
      <c r="O151" s="2">
        <v>0</v>
      </c>
      <c r="P151" s="2">
        <v>0</v>
      </c>
    </row>
    <row r="152" spans="1:16" x14ac:dyDescent="0.3">
      <c r="A152" s="1">
        <v>43972.934699074074</v>
      </c>
      <c r="B152" s="1">
        <v>43972.971504629626</v>
      </c>
      <c r="C152">
        <v>53</v>
      </c>
      <c r="D152" s="2">
        <v>3.6805555555555557E-2</v>
      </c>
      <c r="E152">
        <v>10.02</v>
      </c>
      <c r="F152" s="2">
        <v>3.6689814814814814E-3</v>
      </c>
      <c r="G152">
        <v>11.34</v>
      </c>
      <c r="H152">
        <v>16.63</v>
      </c>
      <c r="I152">
        <v>163</v>
      </c>
      <c r="J152">
        <v>153</v>
      </c>
      <c r="K152">
        <v>723</v>
      </c>
      <c r="L152" s="2">
        <v>3.5185185185185185E-3</v>
      </c>
      <c r="M152" s="2">
        <v>1.8113425925925925E-2</v>
      </c>
      <c r="N152" s="2">
        <v>3.6701388888888888E-2</v>
      </c>
      <c r="O152" s="2">
        <v>0</v>
      </c>
      <c r="P152" s="2">
        <v>0</v>
      </c>
    </row>
    <row r="153" spans="1:16" x14ac:dyDescent="0.3">
      <c r="A153" s="1">
        <v>43974.961712962962</v>
      </c>
      <c r="B153" s="1">
        <v>43975.006342592591</v>
      </c>
      <c r="C153">
        <v>64.27</v>
      </c>
      <c r="D153" s="2">
        <v>4.4618055555555557E-2</v>
      </c>
      <c r="E153">
        <v>12.503</v>
      </c>
      <c r="F153" s="2">
        <v>3.5648148148148154E-3</v>
      </c>
      <c r="G153">
        <v>11.67</v>
      </c>
      <c r="H153">
        <v>13.81</v>
      </c>
      <c r="I153">
        <v>172</v>
      </c>
      <c r="J153">
        <v>153</v>
      </c>
      <c r="K153">
        <v>949</v>
      </c>
      <c r="L153" s="2">
        <v>3.3564814814814811E-3</v>
      </c>
      <c r="M153" s="2">
        <v>1.7499999999999998E-2</v>
      </c>
      <c r="N153" s="2">
        <v>3.5474537037037041E-2</v>
      </c>
      <c r="O153" s="2">
        <v>0</v>
      </c>
      <c r="P153" s="2">
        <v>0</v>
      </c>
    </row>
    <row r="154" spans="1:16" x14ac:dyDescent="0.3">
      <c r="A154" s="1">
        <v>43976.899791666663</v>
      </c>
      <c r="B154" s="1">
        <v>43976.934537037036</v>
      </c>
      <c r="C154">
        <v>50.03</v>
      </c>
      <c r="D154" s="2">
        <v>3.4733796296296297E-2</v>
      </c>
      <c r="E154">
        <v>10.039</v>
      </c>
      <c r="F154" s="2">
        <v>3.4606481481481485E-3</v>
      </c>
      <c r="G154">
        <v>12.04</v>
      </c>
      <c r="H154">
        <v>16.25</v>
      </c>
      <c r="I154">
        <v>160</v>
      </c>
      <c r="J154">
        <v>145</v>
      </c>
      <c r="K154">
        <v>704</v>
      </c>
      <c r="L154" s="2">
        <v>3.1481481481481482E-3</v>
      </c>
      <c r="M154" s="2">
        <v>1.6793981481481483E-2</v>
      </c>
      <c r="N154" s="2">
        <v>3.4606481481481481E-2</v>
      </c>
      <c r="O154" s="2">
        <v>0</v>
      </c>
      <c r="P154" s="2">
        <v>0</v>
      </c>
    </row>
    <row r="155" spans="1:16" x14ac:dyDescent="0.3">
      <c r="A155" s="1">
        <v>43978.878981481481</v>
      </c>
      <c r="B155" s="1">
        <v>43978.914236111108</v>
      </c>
      <c r="C155">
        <v>50.77</v>
      </c>
      <c r="D155" s="2">
        <v>3.5243055555555555E-2</v>
      </c>
      <c r="E155">
        <v>10.045</v>
      </c>
      <c r="F155" s="2">
        <v>3.5069444444444445E-3</v>
      </c>
      <c r="G155">
        <v>11.87</v>
      </c>
      <c r="H155">
        <v>13.88</v>
      </c>
      <c r="I155">
        <v>156</v>
      </c>
      <c r="J155">
        <v>145</v>
      </c>
      <c r="K155">
        <v>768</v>
      </c>
      <c r="L155" s="2">
        <v>3.2523148148148151E-3</v>
      </c>
      <c r="M155" s="2">
        <v>1.7094907407407409E-2</v>
      </c>
      <c r="N155" s="2">
        <v>3.5057870370370371E-2</v>
      </c>
      <c r="O155" s="2">
        <v>0</v>
      </c>
      <c r="P155" s="2">
        <v>0</v>
      </c>
    </row>
    <row r="156" spans="1:16" x14ac:dyDescent="0.3">
      <c r="A156" s="1">
        <v>43981.961967592593</v>
      </c>
      <c r="B156" s="1">
        <v>43982.015740740739</v>
      </c>
      <c r="C156">
        <v>77.430000000000007</v>
      </c>
      <c r="D156" s="2">
        <v>5.376157407407408E-2</v>
      </c>
      <c r="E156">
        <v>15.015000000000001</v>
      </c>
      <c r="F156" s="2">
        <v>3.5763888888888894E-3</v>
      </c>
      <c r="G156">
        <v>11.63</v>
      </c>
      <c r="H156">
        <v>14.05</v>
      </c>
      <c r="I156">
        <v>168</v>
      </c>
      <c r="J156">
        <v>150</v>
      </c>
      <c r="K156">
        <v>1118</v>
      </c>
      <c r="L156" s="2">
        <v>3.3564814814814811E-3</v>
      </c>
      <c r="M156" s="2">
        <v>1.7523148148148149E-2</v>
      </c>
      <c r="N156" s="2">
        <v>3.5509259259259261E-2</v>
      </c>
      <c r="O156" s="2">
        <v>0</v>
      </c>
      <c r="P156" s="2">
        <v>0</v>
      </c>
    </row>
    <row r="157" spans="1:16" x14ac:dyDescent="0.3">
      <c r="A157" s="1">
        <v>43983.921689814815</v>
      </c>
      <c r="B157" s="1">
        <v>43983.958043981482</v>
      </c>
      <c r="C157">
        <v>52.35</v>
      </c>
      <c r="D157" s="2">
        <v>3.6342592592592593E-2</v>
      </c>
      <c r="E157">
        <v>10.109</v>
      </c>
      <c r="F157" s="2">
        <v>3.5879629629629629E-3</v>
      </c>
      <c r="G157">
        <v>11.59</v>
      </c>
      <c r="H157">
        <v>15.07</v>
      </c>
      <c r="I157">
        <v>157</v>
      </c>
      <c r="J157">
        <v>146</v>
      </c>
      <c r="K157">
        <v>765</v>
      </c>
      <c r="L157" s="2">
        <v>3.37962962962963E-3</v>
      </c>
      <c r="M157" s="2">
        <v>1.7523148148148149E-2</v>
      </c>
      <c r="N157" s="2">
        <v>3.577546296296296E-2</v>
      </c>
      <c r="O157" s="2">
        <v>0</v>
      </c>
      <c r="P157" s="2">
        <v>0</v>
      </c>
    </row>
    <row r="158" spans="1:16" x14ac:dyDescent="0.3">
      <c r="A158" s="1">
        <v>43988.961284722223</v>
      </c>
      <c r="B158" s="1">
        <v>43988.999224537038</v>
      </c>
      <c r="C158">
        <v>54.63</v>
      </c>
      <c r="D158" s="2">
        <v>3.7928240740740742E-2</v>
      </c>
      <c r="E158">
        <v>10.026</v>
      </c>
      <c r="F158" s="2">
        <v>3.7731481481481483E-3</v>
      </c>
      <c r="G158">
        <v>11.01</v>
      </c>
      <c r="H158">
        <v>19.899999999999999</v>
      </c>
      <c r="I158">
        <v>164</v>
      </c>
      <c r="J158">
        <v>151</v>
      </c>
      <c r="K158">
        <v>783</v>
      </c>
      <c r="L158" s="2">
        <v>3.5879629629629629E-3</v>
      </c>
      <c r="M158" s="2">
        <v>1.8622685185185183E-2</v>
      </c>
      <c r="N158" s="2">
        <v>3.7812500000000006E-2</v>
      </c>
      <c r="O158" s="2">
        <v>0</v>
      </c>
      <c r="P158" s="2">
        <v>0</v>
      </c>
    </row>
    <row r="159" spans="1:16" x14ac:dyDescent="0.3">
      <c r="A159" s="1">
        <v>43990.899131944447</v>
      </c>
      <c r="B159" s="1">
        <v>43990.933449074073</v>
      </c>
      <c r="C159">
        <v>49.42</v>
      </c>
      <c r="D159" s="2">
        <v>3.4305555555555554E-2</v>
      </c>
      <c r="E159">
        <v>10.023</v>
      </c>
      <c r="F159" s="2">
        <v>3.414351851851852E-3</v>
      </c>
      <c r="G159">
        <v>12.17</v>
      </c>
      <c r="H159">
        <v>14.32</v>
      </c>
      <c r="I159">
        <v>165</v>
      </c>
      <c r="J159">
        <v>152</v>
      </c>
      <c r="K159">
        <v>734</v>
      </c>
      <c r="L159" s="2">
        <v>3.1365740740740742E-3</v>
      </c>
      <c r="M159" s="2">
        <v>1.6562500000000001E-2</v>
      </c>
      <c r="N159" s="2">
        <v>3.4224537037037032E-2</v>
      </c>
      <c r="O159" s="2">
        <v>0</v>
      </c>
      <c r="P159" s="2">
        <v>0</v>
      </c>
    </row>
    <row r="160" spans="1:16" x14ac:dyDescent="0.3">
      <c r="A160" s="1">
        <v>43993.9297337963</v>
      </c>
      <c r="B160" s="1">
        <v>43993.966192129628</v>
      </c>
      <c r="C160">
        <v>52.5</v>
      </c>
      <c r="D160" s="2">
        <v>3.6446759259259262E-2</v>
      </c>
      <c r="E160">
        <v>10.032</v>
      </c>
      <c r="F160" s="2">
        <v>3.6226851851851854E-3</v>
      </c>
      <c r="G160">
        <v>11.47</v>
      </c>
      <c r="H160">
        <v>17.54</v>
      </c>
      <c r="I160">
        <v>165</v>
      </c>
      <c r="J160">
        <v>154</v>
      </c>
      <c r="K160">
        <v>715</v>
      </c>
      <c r="L160" s="2">
        <v>3.2870370370370367E-3</v>
      </c>
      <c r="M160" s="2">
        <v>1.7534722222222222E-2</v>
      </c>
      <c r="N160" s="2">
        <v>3.6331018518518519E-2</v>
      </c>
      <c r="O160" s="2">
        <v>0</v>
      </c>
      <c r="P160" s="2">
        <v>0</v>
      </c>
    </row>
    <row r="161" spans="1:16" x14ac:dyDescent="0.3">
      <c r="A161" s="1">
        <v>43995.962106481478</v>
      </c>
      <c r="B161" s="1">
        <v>43996.015185185184</v>
      </c>
      <c r="C161">
        <v>76.430000000000007</v>
      </c>
      <c r="D161" s="2">
        <v>5.3078703703703704E-2</v>
      </c>
      <c r="E161">
        <v>15.092000000000001</v>
      </c>
      <c r="F161" s="2">
        <v>3.5069444444444445E-3</v>
      </c>
      <c r="G161">
        <v>11.85</v>
      </c>
      <c r="H161">
        <v>14.9</v>
      </c>
      <c r="I161">
        <v>165</v>
      </c>
      <c r="J161">
        <v>153</v>
      </c>
      <c r="K161">
        <v>1136</v>
      </c>
      <c r="L161" s="2">
        <v>3.2754629629629631E-3</v>
      </c>
      <c r="M161" s="2">
        <v>1.7187499999999998E-2</v>
      </c>
      <c r="N161" s="2">
        <v>3.4664351851851849E-2</v>
      </c>
      <c r="O161" s="2">
        <v>0</v>
      </c>
      <c r="P161" s="2">
        <v>0</v>
      </c>
    </row>
    <row r="162" spans="1:16" x14ac:dyDescent="0.3">
      <c r="A162" s="1">
        <v>43997.879548611112</v>
      </c>
      <c r="B162" s="1">
        <v>43997.914050925923</v>
      </c>
      <c r="C162">
        <v>49.68</v>
      </c>
      <c r="D162" s="2">
        <v>3.4490740740740738E-2</v>
      </c>
      <c r="E162">
        <v>10.006</v>
      </c>
      <c r="F162" s="2">
        <v>3.4375E-3</v>
      </c>
      <c r="G162">
        <v>12.08</v>
      </c>
      <c r="H162">
        <v>16.37</v>
      </c>
      <c r="I162">
        <v>164</v>
      </c>
      <c r="J162">
        <v>150</v>
      </c>
      <c r="K162">
        <v>752</v>
      </c>
      <c r="L162" s="2">
        <v>3.1597222222222222E-3</v>
      </c>
      <c r="M162" s="2">
        <v>1.6805555555555556E-2</v>
      </c>
      <c r="N162" s="2">
        <v>0</v>
      </c>
      <c r="O162" s="2">
        <v>0</v>
      </c>
      <c r="P162" s="2">
        <v>0</v>
      </c>
    </row>
    <row r="163" spans="1:16" x14ac:dyDescent="0.3">
      <c r="A163" s="1">
        <v>44000.943171296298</v>
      </c>
      <c r="B163" s="1">
        <v>44000.979074074072</v>
      </c>
      <c r="C163">
        <v>51.7</v>
      </c>
      <c r="D163" s="2">
        <v>3.5891203703703703E-2</v>
      </c>
      <c r="E163">
        <v>10.007</v>
      </c>
      <c r="F163" s="2">
        <v>3.5763888888888894E-3</v>
      </c>
      <c r="G163">
        <v>11.61</v>
      </c>
      <c r="H163">
        <v>15.81</v>
      </c>
      <c r="I163">
        <v>162</v>
      </c>
      <c r="J163">
        <v>152</v>
      </c>
      <c r="K163">
        <v>724</v>
      </c>
      <c r="L163" s="2">
        <v>3.4027777777777784E-3</v>
      </c>
      <c r="M163" s="2">
        <v>1.7511574074074072E-2</v>
      </c>
      <c r="N163" s="2">
        <v>3.5844907407407409E-2</v>
      </c>
      <c r="O163" s="2">
        <v>0</v>
      </c>
      <c r="P163" s="2">
        <v>0</v>
      </c>
    </row>
    <row r="164" spans="1:16" x14ac:dyDescent="0.3">
      <c r="A164" s="1">
        <v>44004.892060185186</v>
      </c>
      <c r="B164" s="1">
        <v>44004.925937499997</v>
      </c>
      <c r="C164">
        <v>48.78</v>
      </c>
      <c r="D164" s="2">
        <v>3.3865740740740738E-2</v>
      </c>
      <c r="E164">
        <v>10.061</v>
      </c>
      <c r="F164" s="2">
        <v>3.3564814814814811E-3</v>
      </c>
      <c r="G164">
        <v>12.37</v>
      </c>
      <c r="H164">
        <v>15.44</v>
      </c>
      <c r="I164">
        <v>166</v>
      </c>
      <c r="J164">
        <v>155</v>
      </c>
      <c r="K164">
        <v>730</v>
      </c>
      <c r="L164" s="2">
        <v>3.0902777777777782E-3</v>
      </c>
      <c r="M164" s="2">
        <v>1.6284722222222221E-2</v>
      </c>
      <c r="N164" s="2">
        <v>3.366898148148148E-2</v>
      </c>
      <c r="O164" s="2">
        <v>0</v>
      </c>
      <c r="P164" s="2">
        <v>0</v>
      </c>
    </row>
    <row r="165" spans="1:16" x14ac:dyDescent="0.3">
      <c r="A165" s="1">
        <v>44007.960451388892</v>
      </c>
      <c r="B165" s="1">
        <v>44007.996134259258</v>
      </c>
      <c r="C165">
        <v>51.38</v>
      </c>
      <c r="D165" s="2">
        <v>3.5671296296296298E-2</v>
      </c>
      <c r="E165">
        <v>10.034000000000001</v>
      </c>
      <c r="F165" s="2">
        <v>3.5532407407407405E-3</v>
      </c>
      <c r="G165">
        <v>11.72</v>
      </c>
      <c r="H165">
        <v>16.739999999999998</v>
      </c>
      <c r="I165">
        <v>167</v>
      </c>
      <c r="J165">
        <v>157</v>
      </c>
      <c r="K165">
        <v>720</v>
      </c>
      <c r="L165" s="2">
        <v>3.3912037037037036E-3</v>
      </c>
      <c r="M165" s="2">
        <v>1.7499999999999998E-2</v>
      </c>
      <c r="N165" s="2">
        <v>3.5555555555555556E-2</v>
      </c>
      <c r="O165" s="2">
        <v>0</v>
      </c>
      <c r="P165" s="2">
        <v>0</v>
      </c>
    </row>
    <row r="166" spans="1:16" x14ac:dyDescent="0.3">
      <c r="A166" s="1">
        <v>44009.961539351854</v>
      </c>
      <c r="B166" s="1">
        <v>44010.004270833335</v>
      </c>
      <c r="C166">
        <v>61.53</v>
      </c>
      <c r="D166" s="2">
        <v>4.2719907407407408E-2</v>
      </c>
      <c r="E166">
        <v>12.065</v>
      </c>
      <c r="F166" s="2">
        <v>3.5416666666666665E-3</v>
      </c>
      <c r="G166">
        <v>11.76</v>
      </c>
      <c r="H166">
        <v>15.04</v>
      </c>
      <c r="I166">
        <v>167</v>
      </c>
      <c r="J166">
        <v>157</v>
      </c>
      <c r="K166">
        <v>914</v>
      </c>
      <c r="L166" s="2">
        <v>3.3912037037037036E-3</v>
      </c>
      <c r="M166" s="2">
        <v>1.7337962962962961E-2</v>
      </c>
      <c r="N166" s="2">
        <v>3.4965277777777783E-2</v>
      </c>
      <c r="O166" s="2">
        <v>0</v>
      </c>
      <c r="P166" s="2">
        <v>0</v>
      </c>
    </row>
    <row r="167" spans="1:16" x14ac:dyDescent="0.3">
      <c r="A167" s="1">
        <v>44012.878854166665</v>
      </c>
      <c r="B167" s="1">
        <v>44012.915370370371</v>
      </c>
      <c r="C167">
        <v>52.58</v>
      </c>
      <c r="D167" s="2">
        <v>3.6516203703703703E-2</v>
      </c>
      <c r="E167">
        <v>10.042999999999999</v>
      </c>
      <c r="F167" s="2">
        <v>3.6342592592592594E-3</v>
      </c>
      <c r="G167">
        <v>11.46</v>
      </c>
      <c r="H167">
        <v>13.99</v>
      </c>
      <c r="I167">
        <v>165</v>
      </c>
      <c r="J167">
        <v>146</v>
      </c>
      <c r="K167">
        <v>785</v>
      </c>
      <c r="L167" s="2">
        <v>3.4953703703703705E-3</v>
      </c>
      <c r="M167" s="2">
        <v>1.800925925925926E-2</v>
      </c>
      <c r="N167" s="2">
        <v>3.6377314814814814E-2</v>
      </c>
      <c r="O167" s="2">
        <v>0</v>
      </c>
      <c r="P167" s="2">
        <v>0</v>
      </c>
    </row>
    <row r="168" spans="1:16" x14ac:dyDescent="0.3">
      <c r="A168" s="1">
        <v>44016.964490740742</v>
      </c>
      <c r="B168" s="1">
        <v>44017.010798611111</v>
      </c>
      <c r="C168">
        <v>66.680000000000007</v>
      </c>
      <c r="D168" s="2">
        <v>4.6296296296296301E-2</v>
      </c>
      <c r="E168">
        <v>13.058</v>
      </c>
      <c r="F168" s="2">
        <v>3.5416666666666665E-3</v>
      </c>
      <c r="G168">
        <v>11.75</v>
      </c>
      <c r="H168">
        <v>14.78</v>
      </c>
      <c r="I168">
        <v>167</v>
      </c>
      <c r="J168">
        <v>152</v>
      </c>
      <c r="K168">
        <v>990</v>
      </c>
      <c r="L168" s="2">
        <v>3.2523148148148151E-3</v>
      </c>
      <c r="M168" s="2">
        <v>1.6840277777777777E-2</v>
      </c>
      <c r="N168" s="2">
        <v>3.4976851851851849E-2</v>
      </c>
      <c r="O168" s="2">
        <v>0</v>
      </c>
      <c r="P168" s="2">
        <v>0</v>
      </c>
    </row>
    <row r="169" spans="1:16" x14ac:dyDescent="0.3">
      <c r="A169" s="1">
        <v>44019.899421296293</v>
      </c>
      <c r="B169" s="1">
        <v>44019.935972222222</v>
      </c>
      <c r="C169">
        <v>52.63</v>
      </c>
      <c r="D169" s="2">
        <v>3.6539351851851851E-2</v>
      </c>
      <c r="E169">
        <v>10.032</v>
      </c>
      <c r="F169" s="2">
        <v>3.6342592592592594E-3</v>
      </c>
      <c r="G169">
        <v>11.44</v>
      </c>
      <c r="H169">
        <v>14.65</v>
      </c>
      <c r="I169">
        <v>162</v>
      </c>
      <c r="J169">
        <v>145</v>
      </c>
      <c r="K169">
        <v>754</v>
      </c>
      <c r="L169" s="2">
        <v>3.4953703703703705E-3</v>
      </c>
      <c r="M169" s="2">
        <v>1.7939814814814815E-2</v>
      </c>
      <c r="N169" s="2">
        <v>3.6423611111111115E-2</v>
      </c>
      <c r="O169" s="2">
        <v>0</v>
      </c>
      <c r="P169" s="2">
        <v>0</v>
      </c>
    </row>
    <row r="170" spans="1:16" x14ac:dyDescent="0.3">
      <c r="A170" s="1">
        <v>44021.993055555555</v>
      </c>
      <c r="B170" s="1">
        <v>44022.027939814812</v>
      </c>
      <c r="C170">
        <v>50.23</v>
      </c>
      <c r="D170" s="2">
        <v>3.4872685185185187E-2</v>
      </c>
      <c r="E170">
        <v>11.032999999999999</v>
      </c>
      <c r="F170" s="2">
        <v>3.1597222222222222E-3</v>
      </c>
      <c r="G170">
        <v>13.18</v>
      </c>
      <c r="H170">
        <v>14.55</v>
      </c>
      <c r="I170">
        <v>178</v>
      </c>
      <c r="J170">
        <v>168</v>
      </c>
      <c r="K170">
        <v>767</v>
      </c>
      <c r="L170" s="2">
        <v>2.9166666666666668E-3</v>
      </c>
      <c r="M170" s="2">
        <v>1.5578703703703704E-2</v>
      </c>
      <c r="N170" s="2">
        <v>3.1296296296296301E-2</v>
      </c>
      <c r="O170" s="2">
        <v>0</v>
      </c>
      <c r="P170" s="2">
        <v>0</v>
      </c>
    </row>
    <row r="171" spans="1:16" x14ac:dyDescent="0.3">
      <c r="A171" s="1">
        <v>44023.943032407406</v>
      </c>
      <c r="B171" s="1">
        <v>44023.979363425926</v>
      </c>
      <c r="C171">
        <v>52.32</v>
      </c>
      <c r="D171" s="2">
        <v>3.6319444444444439E-2</v>
      </c>
      <c r="E171">
        <v>10.125</v>
      </c>
      <c r="F171" s="2">
        <v>3.5879629629629629E-3</v>
      </c>
      <c r="G171">
        <v>11.61</v>
      </c>
      <c r="H171">
        <v>15.76</v>
      </c>
      <c r="I171">
        <v>167</v>
      </c>
      <c r="J171">
        <v>151</v>
      </c>
      <c r="K171">
        <v>781</v>
      </c>
      <c r="L171" s="2">
        <v>3.4375E-3</v>
      </c>
      <c r="M171" s="2">
        <v>1.7488425925925925E-2</v>
      </c>
      <c r="N171" s="2">
        <v>3.5729166666666666E-2</v>
      </c>
      <c r="O171" s="2">
        <v>0</v>
      </c>
      <c r="P171" s="2">
        <v>0</v>
      </c>
    </row>
    <row r="172" spans="1:16" x14ac:dyDescent="0.3">
      <c r="A172" s="1">
        <v>44025.905601851853</v>
      </c>
      <c r="B172" s="1">
        <v>44025.942986111113</v>
      </c>
      <c r="C172">
        <v>53.83</v>
      </c>
      <c r="D172" s="2">
        <v>3.7384259259259263E-2</v>
      </c>
      <c r="E172">
        <v>11.026999999999999</v>
      </c>
      <c r="F172" s="2">
        <v>3.37962962962963E-3</v>
      </c>
      <c r="G172">
        <v>12.29</v>
      </c>
      <c r="H172">
        <v>19.2</v>
      </c>
      <c r="I172">
        <v>171</v>
      </c>
      <c r="J172">
        <v>155</v>
      </c>
      <c r="K172">
        <v>794</v>
      </c>
      <c r="L172" s="2">
        <v>3.1365740740740742E-3</v>
      </c>
      <c r="M172" s="2">
        <v>1.6446759259259262E-2</v>
      </c>
      <c r="N172" s="2">
        <v>3.3599537037037039E-2</v>
      </c>
      <c r="O172" s="2">
        <v>0</v>
      </c>
      <c r="P172" s="2">
        <v>0</v>
      </c>
    </row>
    <row r="173" spans="1:16" x14ac:dyDescent="0.3">
      <c r="A173" s="1">
        <v>44028.998819444445</v>
      </c>
      <c r="B173" s="1">
        <v>44029.045185185183</v>
      </c>
      <c r="C173">
        <v>66.11</v>
      </c>
      <c r="D173" s="2">
        <v>4.5902777777777772E-2</v>
      </c>
      <c r="E173">
        <v>13.15</v>
      </c>
      <c r="F173" s="2">
        <v>3.483796296296296E-3</v>
      </c>
      <c r="G173">
        <v>11.93</v>
      </c>
      <c r="H173">
        <v>16.14</v>
      </c>
      <c r="I173">
        <v>170</v>
      </c>
      <c r="J173">
        <v>163</v>
      </c>
      <c r="K173">
        <v>961</v>
      </c>
      <c r="L173" s="2">
        <v>3.2060185185185191E-3</v>
      </c>
      <c r="M173" s="2">
        <v>1.699074074074074E-2</v>
      </c>
      <c r="N173" s="2">
        <v>3.4629629629629628E-2</v>
      </c>
      <c r="O173" s="2">
        <v>0</v>
      </c>
      <c r="P173" s="2">
        <v>0</v>
      </c>
    </row>
    <row r="174" spans="1:16" x14ac:dyDescent="0.3">
      <c r="A174" s="1">
        <v>44030.964814814812</v>
      </c>
      <c r="B174" s="1">
        <v>44031.003148148149</v>
      </c>
      <c r="C174">
        <v>55.2</v>
      </c>
      <c r="D174" s="2">
        <v>3.8321759259259257E-2</v>
      </c>
      <c r="E174">
        <v>11.153</v>
      </c>
      <c r="F174" s="2">
        <v>3.425925925925926E-3</v>
      </c>
      <c r="G174">
        <v>12.12</v>
      </c>
      <c r="H174">
        <v>16.010000000000002</v>
      </c>
      <c r="I174">
        <v>167</v>
      </c>
      <c r="J174">
        <v>154</v>
      </c>
      <c r="K174">
        <v>825</v>
      </c>
      <c r="L174" s="2">
        <v>3.1481481481481482E-3</v>
      </c>
      <c r="M174" s="2">
        <v>1.6446759259259262E-2</v>
      </c>
      <c r="N174" s="2">
        <v>3.3969907407407407E-2</v>
      </c>
      <c r="O174" s="2">
        <v>0</v>
      </c>
      <c r="P174" s="2">
        <v>0</v>
      </c>
    </row>
    <row r="175" spans="1:16" x14ac:dyDescent="0.3">
      <c r="A175" s="1">
        <v>44033.940613425926</v>
      </c>
      <c r="B175" s="1">
        <v>44033.988796296297</v>
      </c>
      <c r="C175">
        <v>69.38</v>
      </c>
      <c r="D175" s="2">
        <v>4.8182870370370369E-2</v>
      </c>
      <c r="E175">
        <v>15.013999999999999</v>
      </c>
      <c r="F175" s="2">
        <v>3.2060185185185191E-3</v>
      </c>
      <c r="G175">
        <v>12.98</v>
      </c>
      <c r="H175">
        <v>15.94</v>
      </c>
      <c r="I175">
        <v>179</v>
      </c>
      <c r="J175">
        <v>165</v>
      </c>
      <c r="K175">
        <v>1025</v>
      </c>
      <c r="L175" s="2">
        <v>2.7777777777777779E-3</v>
      </c>
      <c r="M175" s="2">
        <v>1.5231481481481483E-2</v>
      </c>
      <c r="N175" s="2">
        <v>3.0949074074074077E-2</v>
      </c>
      <c r="O175" s="2">
        <v>0</v>
      </c>
      <c r="P175" s="2">
        <v>0</v>
      </c>
    </row>
    <row r="176" spans="1:16" x14ac:dyDescent="0.3">
      <c r="A176" s="1">
        <v>44037.942789351851</v>
      </c>
      <c r="B176" s="1">
        <v>44037.979305555556</v>
      </c>
      <c r="C176">
        <v>52.58</v>
      </c>
      <c r="D176" s="2">
        <v>3.650462962962963E-2</v>
      </c>
      <c r="E176">
        <v>10.009</v>
      </c>
      <c r="F176" s="2">
        <v>3.645833333333333E-3</v>
      </c>
      <c r="G176">
        <v>11.42</v>
      </c>
      <c r="H176">
        <v>14.38</v>
      </c>
      <c r="I176">
        <v>177</v>
      </c>
      <c r="J176">
        <v>154</v>
      </c>
      <c r="K176">
        <v>778</v>
      </c>
      <c r="L176" s="2">
        <v>3.5648148148148154E-3</v>
      </c>
      <c r="M176" s="2">
        <v>1.8101851851851852E-2</v>
      </c>
      <c r="N176" s="2">
        <v>3.6458333333333336E-2</v>
      </c>
      <c r="O176" s="2">
        <v>0</v>
      </c>
      <c r="P176" s="2">
        <v>0</v>
      </c>
    </row>
    <row r="177" spans="1:16" x14ac:dyDescent="0.3">
      <c r="A177" s="1">
        <v>44043.02138888889</v>
      </c>
      <c r="B177" s="1">
        <v>44043.056134259263</v>
      </c>
      <c r="C177">
        <v>50.03</v>
      </c>
      <c r="D177" s="2">
        <v>3.4733796296296297E-2</v>
      </c>
      <c r="E177">
        <v>10.124000000000001</v>
      </c>
      <c r="F177" s="2">
        <v>3.425925925925926E-3</v>
      </c>
      <c r="G177">
        <v>12.14</v>
      </c>
      <c r="H177">
        <v>14.22</v>
      </c>
      <c r="I177">
        <v>169</v>
      </c>
      <c r="J177">
        <v>160</v>
      </c>
      <c r="K177">
        <v>739</v>
      </c>
      <c r="L177" s="2">
        <v>3.1712962962962958E-3</v>
      </c>
      <c r="M177" s="2">
        <v>1.6782407407407409E-2</v>
      </c>
      <c r="N177" s="2">
        <v>3.4224537037037032E-2</v>
      </c>
      <c r="O177" s="2">
        <v>0</v>
      </c>
      <c r="P177" s="2">
        <v>0</v>
      </c>
    </row>
    <row r="178" spans="1:16" x14ac:dyDescent="0.3">
      <c r="A178" s="1">
        <v>44044.942291666666</v>
      </c>
      <c r="B178" s="1">
        <v>44044.978680555556</v>
      </c>
      <c r="C178">
        <v>52.4</v>
      </c>
      <c r="D178" s="2">
        <v>3.6377314814814814E-2</v>
      </c>
      <c r="E178">
        <v>10.032999999999999</v>
      </c>
      <c r="F178" s="2">
        <v>3.6226851851851854E-3</v>
      </c>
      <c r="G178">
        <v>11.49</v>
      </c>
      <c r="H178">
        <v>14.34</v>
      </c>
      <c r="I178">
        <v>167</v>
      </c>
      <c r="J178">
        <v>158</v>
      </c>
      <c r="K178">
        <v>771</v>
      </c>
      <c r="L178" s="2">
        <v>3.3564814814814811E-3</v>
      </c>
      <c r="M178" s="2">
        <v>1.7789351851851851E-2</v>
      </c>
      <c r="N178" s="2">
        <v>3.6249999999999998E-2</v>
      </c>
      <c r="O178" s="2">
        <v>0</v>
      </c>
      <c r="P178" s="2">
        <v>0</v>
      </c>
    </row>
    <row r="179" spans="1:16" x14ac:dyDescent="0.3">
      <c r="A179" s="1">
        <v>44048.002141203702</v>
      </c>
      <c r="B179" s="1">
        <v>44048.026689814818</v>
      </c>
      <c r="C179">
        <v>35.35</v>
      </c>
      <c r="D179" s="2">
        <v>2.4537037037037038E-2</v>
      </c>
      <c r="E179">
        <v>7.1429999999999998</v>
      </c>
      <c r="F179" s="2">
        <v>3.425925925925926E-3</v>
      </c>
      <c r="G179">
        <v>12.12</v>
      </c>
      <c r="H179">
        <v>16.170000000000002</v>
      </c>
      <c r="I179">
        <v>168</v>
      </c>
      <c r="J179">
        <v>160</v>
      </c>
      <c r="K179">
        <v>505</v>
      </c>
      <c r="L179" s="2">
        <v>3.2870370370370367E-3</v>
      </c>
      <c r="M179" s="2">
        <v>1.6944444444444443E-2</v>
      </c>
      <c r="N179" s="2">
        <v>0</v>
      </c>
      <c r="O179" s="2">
        <v>0</v>
      </c>
      <c r="P179" s="2">
        <v>0</v>
      </c>
    </row>
    <row r="180" spans="1:16" x14ac:dyDescent="0.3">
      <c r="A180" s="1">
        <v>44049.91982638889</v>
      </c>
      <c r="B180" s="1">
        <v>44049.956319444442</v>
      </c>
      <c r="C180">
        <v>52.55</v>
      </c>
      <c r="D180" s="2">
        <v>3.6481481481481483E-2</v>
      </c>
      <c r="E180">
        <v>10.023</v>
      </c>
      <c r="F180" s="2">
        <v>3.6342592592592594E-3</v>
      </c>
      <c r="G180">
        <v>11.44</v>
      </c>
      <c r="H180">
        <v>13.63</v>
      </c>
      <c r="I180">
        <v>170</v>
      </c>
      <c r="J180">
        <v>158</v>
      </c>
      <c r="K180">
        <v>757</v>
      </c>
      <c r="L180" s="2">
        <v>3.472222222222222E-3</v>
      </c>
      <c r="M180" s="2">
        <v>1.7812499999999998E-2</v>
      </c>
      <c r="N180" s="2">
        <v>3.6377314814814814E-2</v>
      </c>
      <c r="O180" s="2">
        <v>0</v>
      </c>
      <c r="P180" s="2">
        <v>0</v>
      </c>
    </row>
    <row r="181" spans="1:16" x14ac:dyDescent="0.3">
      <c r="A181" s="1">
        <v>44051.963425925926</v>
      </c>
      <c r="B181" s="1">
        <v>44051.970972222225</v>
      </c>
      <c r="C181">
        <v>10.87</v>
      </c>
      <c r="D181" s="2">
        <v>7.5347222222222213E-3</v>
      </c>
      <c r="E181">
        <v>2.0190000000000001</v>
      </c>
      <c r="F181" s="2">
        <v>3.7268518518518514E-3</v>
      </c>
      <c r="G181">
        <v>11.15</v>
      </c>
      <c r="H181">
        <v>16.27</v>
      </c>
      <c r="I181">
        <v>169</v>
      </c>
      <c r="J181">
        <v>164</v>
      </c>
      <c r="K181">
        <v>147</v>
      </c>
      <c r="L181" s="2">
        <v>3.483796296296296E-3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3">
      <c r="A182" s="1">
        <v>44051.979016203702</v>
      </c>
      <c r="B182" s="1">
        <v>44052.006736111114</v>
      </c>
      <c r="C182">
        <v>39.92</v>
      </c>
      <c r="D182" s="2">
        <v>2.7708333333333331E-2</v>
      </c>
      <c r="E182">
        <v>7.01</v>
      </c>
      <c r="F182" s="2">
        <v>3.9467592592592592E-3</v>
      </c>
      <c r="G182">
        <v>10.54</v>
      </c>
      <c r="H182">
        <v>14.47</v>
      </c>
      <c r="I182">
        <v>166</v>
      </c>
      <c r="J182">
        <v>154</v>
      </c>
      <c r="K182">
        <v>538</v>
      </c>
      <c r="L182" s="2">
        <v>3.7962962962962963E-3</v>
      </c>
      <c r="M182" s="2">
        <v>1.9768518518518515E-2</v>
      </c>
      <c r="N182" s="2">
        <v>0</v>
      </c>
      <c r="O182" s="2">
        <v>0</v>
      </c>
      <c r="P182" s="2">
        <v>0</v>
      </c>
    </row>
    <row r="183" spans="1:16" x14ac:dyDescent="0.3">
      <c r="A183" s="1">
        <v>44054.98065972222</v>
      </c>
      <c r="B183" s="1">
        <v>44055.020682870374</v>
      </c>
      <c r="C183">
        <v>57.63</v>
      </c>
      <c r="D183" s="2">
        <v>4.0011574074074074E-2</v>
      </c>
      <c r="E183">
        <v>10.379</v>
      </c>
      <c r="F183" s="2">
        <v>3.8541666666666668E-3</v>
      </c>
      <c r="G183">
        <v>10.81</v>
      </c>
      <c r="H183">
        <v>13.75</v>
      </c>
      <c r="I183">
        <v>168</v>
      </c>
      <c r="J183">
        <v>156</v>
      </c>
      <c r="K183">
        <v>797</v>
      </c>
      <c r="L183" s="2">
        <v>3.5763888888888894E-3</v>
      </c>
      <c r="M183" s="2">
        <v>1.8668981481481481E-2</v>
      </c>
      <c r="N183" s="2">
        <v>3.8321759259259257E-2</v>
      </c>
      <c r="O183" s="2">
        <v>0</v>
      </c>
      <c r="P183" s="2">
        <v>0</v>
      </c>
    </row>
    <row r="184" spans="1:16" x14ac:dyDescent="0.3">
      <c r="A184" s="1">
        <v>44058.888506944444</v>
      </c>
      <c r="B184" s="1">
        <v>44058.924201388887</v>
      </c>
      <c r="C184">
        <v>51.4</v>
      </c>
      <c r="D184" s="2">
        <v>3.5682870370370372E-2</v>
      </c>
      <c r="E184">
        <v>10.032</v>
      </c>
      <c r="F184" s="2">
        <v>3.5532407407407405E-3</v>
      </c>
      <c r="G184">
        <v>11.71</v>
      </c>
      <c r="H184">
        <v>14.08</v>
      </c>
      <c r="I184">
        <v>167</v>
      </c>
      <c r="J184">
        <v>155</v>
      </c>
      <c r="K184">
        <v>757</v>
      </c>
      <c r="L184" s="2">
        <v>3.2986111111111111E-3</v>
      </c>
      <c r="M184" s="2">
        <v>1.7071759259259259E-2</v>
      </c>
      <c r="N184" s="2">
        <v>3.5567129629629629E-2</v>
      </c>
      <c r="O184" s="2">
        <v>0</v>
      </c>
      <c r="P184" s="2">
        <v>0</v>
      </c>
    </row>
    <row r="185" spans="1:16" x14ac:dyDescent="0.3">
      <c r="A185" s="1">
        <v>44059.848819444444</v>
      </c>
      <c r="B185" s="1">
        <v>44059.866909722223</v>
      </c>
      <c r="C185">
        <v>26.05</v>
      </c>
      <c r="D185" s="2">
        <v>1.8078703703703704E-2</v>
      </c>
      <c r="E185">
        <v>5.0170000000000003</v>
      </c>
      <c r="F185" s="2">
        <v>3.5995370370370369E-3</v>
      </c>
      <c r="G185">
        <v>11.56</v>
      </c>
      <c r="H185">
        <v>13.53</v>
      </c>
      <c r="I185">
        <v>188</v>
      </c>
      <c r="J185">
        <v>150</v>
      </c>
      <c r="K185">
        <v>383</v>
      </c>
      <c r="L185" s="2">
        <v>3.5185185185185185E-3</v>
      </c>
      <c r="M185" s="2">
        <v>1.8020833333333333E-2</v>
      </c>
      <c r="N185" s="2">
        <v>0</v>
      </c>
      <c r="O185" s="2">
        <v>0</v>
      </c>
      <c r="P185" s="2">
        <v>0</v>
      </c>
    </row>
    <row r="186" spans="1:16" x14ac:dyDescent="0.3">
      <c r="A186" s="1">
        <v>44061.879907407405</v>
      </c>
      <c r="B186" s="1">
        <v>44061.914131944446</v>
      </c>
      <c r="C186">
        <v>49.28</v>
      </c>
      <c r="D186" s="2">
        <v>3.4212962962962966E-2</v>
      </c>
      <c r="E186">
        <v>10.023</v>
      </c>
      <c r="F186" s="2">
        <v>3.414351851851852E-3</v>
      </c>
      <c r="G186">
        <v>12.2</v>
      </c>
      <c r="H186">
        <v>24.99</v>
      </c>
      <c r="I186">
        <v>169</v>
      </c>
      <c r="J186">
        <v>154</v>
      </c>
      <c r="K186">
        <v>684</v>
      </c>
      <c r="L186" s="2">
        <v>2.9282407407407412E-3</v>
      </c>
      <c r="M186" s="2">
        <v>1.6168981481481482E-2</v>
      </c>
      <c r="N186" s="2">
        <v>3.4131944444444444E-2</v>
      </c>
      <c r="O186" s="2">
        <v>0</v>
      </c>
      <c r="P186" s="2">
        <v>0</v>
      </c>
    </row>
    <row r="187" spans="1:16" x14ac:dyDescent="0.3">
      <c r="A187" s="1">
        <v>44065.922256944446</v>
      </c>
      <c r="B187" s="1">
        <v>44065.957418981481</v>
      </c>
      <c r="C187">
        <v>50.63</v>
      </c>
      <c r="D187" s="2">
        <v>3.515046296296296E-2</v>
      </c>
      <c r="E187">
        <v>10.061999999999999</v>
      </c>
      <c r="F187" s="2">
        <v>3.483796296296296E-3</v>
      </c>
      <c r="G187">
        <v>11.92</v>
      </c>
      <c r="H187">
        <v>15.26</v>
      </c>
      <c r="I187">
        <v>167</v>
      </c>
      <c r="J187">
        <v>158</v>
      </c>
      <c r="K187">
        <v>755</v>
      </c>
      <c r="L187" s="2">
        <v>3.2175925925925926E-3</v>
      </c>
      <c r="M187" s="2">
        <v>1.6932870370370369E-2</v>
      </c>
      <c r="N187" s="2">
        <v>3.4942129629629635E-2</v>
      </c>
      <c r="O187" s="2">
        <v>0</v>
      </c>
      <c r="P187" s="2">
        <v>0</v>
      </c>
    </row>
    <row r="188" spans="1:16" x14ac:dyDescent="0.3">
      <c r="A188" s="1">
        <v>44067.848865740743</v>
      </c>
      <c r="B188" s="1">
        <v>44067.886041666665</v>
      </c>
      <c r="C188">
        <v>53.53</v>
      </c>
      <c r="D188" s="2">
        <v>3.7164351851851851E-2</v>
      </c>
      <c r="E188">
        <v>11.028</v>
      </c>
      <c r="F188" s="2">
        <v>3.3680555555555551E-3</v>
      </c>
      <c r="G188">
        <v>12.36</v>
      </c>
      <c r="H188">
        <v>14.18</v>
      </c>
      <c r="I188">
        <v>169</v>
      </c>
      <c r="J188">
        <v>153</v>
      </c>
      <c r="K188">
        <v>807</v>
      </c>
      <c r="L188" s="2">
        <v>3.1712962962962958E-3</v>
      </c>
      <c r="M188" s="2">
        <v>1.6273148148148148E-2</v>
      </c>
      <c r="N188" s="2">
        <v>3.3437500000000002E-2</v>
      </c>
      <c r="O188" s="2">
        <v>0</v>
      </c>
      <c r="P188" s="2">
        <v>0</v>
      </c>
    </row>
    <row r="189" spans="1:16" x14ac:dyDescent="0.3">
      <c r="A189" s="1">
        <v>44070.919849537036</v>
      </c>
      <c r="B189" s="1">
        <v>44070.955601851849</v>
      </c>
      <c r="C189">
        <v>51.48</v>
      </c>
      <c r="D189" s="2">
        <v>3.5740740740740747E-2</v>
      </c>
      <c r="E189">
        <v>10.093999999999999</v>
      </c>
      <c r="F189" s="2">
        <v>3.5416666666666665E-3</v>
      </c>
      <c r="G189">
        <v>11.76</v>
      </c>
      <c r="H189">
        <v>20.21</v>
      </c>
      <c r="I189">
        <v>167</v>
      </c>
      <c r="J189">
        <v>155</v>
      </c>
      <c r="K189">
        <v>730</v>
      </c>
      <c r="L189" s="2">
        <v>2.9282407407407412E-3</v>
      </c>
      <c r="M189" s="2">
        <v>1.6793981481481483E-2</v>
      </c>
      <c r="N189" s="2">
        <v>3.5439814814814813E-2</v>
      </c>
      <c r="O189" s="2">
        <v>0</v>
      </c>
      <c r="P189" s="2">
        <v>0</v>
      </c>
    </row>
    <row r="190" spans="1:16" x14ac:dyDescent="0.3">
      <c r="A190" s="1">
        <v>44072.909594907411</v>
      </c>
      <c r="B190" s="1">
        <v>44072.943668981483</v>
      </c>
      <c r="C190">
        <v>49.07</v>
      </c>
      <c r="D190" s="2">
        <v>3.4062500000000002E-2</v>
      </c>
      <c r="E190">
        <v>10.02</v>
      </c>
      <c r="F190" s="2">
        <v>3.3912037037037036E-3</v>
      </c>
      <c r="G190">
        <v>12.25</v>
      </c>
      <c r="H190">
        <v>15.45</v>
      </c>
      <c r="I190">
        <v>167</v>
      </c>
      <c r="J190">
        <v>159</v>
      </c>
      <c r="K190">
        <v>756</v>
      </c>
      <c r="L190" s="2">
        <v>3.2175925925925926E-3</v>
      </c>
      <c r="M190" s="2">
        <v>1.6412037037037037E-2</v>
      </c>
      <c r="N190" s="2">
        <v>3.3993055555555561E-2</v>
      </c>
      <c r="O190" s="2">
        <v>0</v>
      </c>
      <c r="P190" s="2">
        <v>0</v>
      </c>
    </row>
    <row r="191" spans="1:16" x14ac:dyDescent="0.3">
      <c r="A191" s="1">
        <v>44075.884976851848</v>
      </c>
      <c r="B191" s="1">
        <v>44075.936145833337</v>
      </c>
      <c r="C191">
        <v>73.680000000000007</v>
      </c>
      <c r="D191" s="2">
        <v>5.1157407407407408E-2</v>
      </c>
      <c r="E191">
        <v>16.018999999999998</v>
      </c>
      <c r="F191" s="2">
        <v>3.1828703703703702E-3</v>
      </c>
      <c r="G191">
        <v>13.04</v>
      </c>
      <c r="H191">
        <v>15.23</v>
      </c>
      <c r="I191">
        <v>173</v>
      </c>
      <c r="J191">
        <v>160</v>
      </c>
      <c r="K191">
        <v>1095</v>
      </c>
      <c r="L191" s="2">
        <v>2.9166666666666668E-3</v>
      </c>
      <c r="M191" s="2">
        <v>1.5219907407407409E-2</v>
      </c>
      <c r="N191" s="2">
        <v>3.1342592592592596E-2</v>
      </c>
      <c r="O191" s="2">
        <v>0</v>
      </c>
      <c r="P191" s="2">
        <v>0</v>
      </c>
    </row>
    <row r="192" spans="1:16" x14ac:dyDescent="0.3">
      <c r="A192" s="1">
        <v>44077.95453703704</v>
      </c>
      <c r="B192" s="1">
        <v>44077.988935185182</v>
      </c>
      <c r="C192">
        <v>49.53</v>
      </c>
      <c r="D192" s="2">
        <v>3.4386574074074076E-2</v>
      </c>
      <c r="E192">
        <v>9.141</v>
      </c>
      <c r="F192" s="2">
        <v>3.7615740740740739E-3</v>
      </c>
      <c r="G192">
        <v>11.07</v>
      </c>
      <c r="H192">
        <v>18.03</v>
      </c>
      <c r="I192">
        <v>167</v>
      </c>
      <c r="J192">
        <v>153</v>
      </c>
      <c r="K192">
        <v>693</v>
      </c>
      <c r="L192" s="2">
        <v>3.5185185185185185E-3</v>
      </c>
      <c r="M192" s="2">
        <v>1.8645833333333334E-2</v>
      </c>
      <c r="N192" s="2">
        <v>0</v>
      </c>
      <c r="O192" s="2">
        <v>0</v>
      </c>
      <c r="P192" s="2">
        <v>0</v>
      </c>
    </row>
    <row r="193" spans="1:16" x14ac:dyDescent="0.3">
      <c r="A193" s="1">
        <v>44079.909745370373</v>
      </c>
      <c r="B193" s="1">
        <v>44079.946817129632</v>
      </c>
      <c r="C193">
        <v>53.38</v>
      </c>
      <c r="D193" s="2">
        <v>3.7060185185185189E-2</v>
      </c>
      <c r="E193">
        <v>10.092000000000001</v>
      </c>
      <c r="F193" s="2">
        <v>3.6689814814814814E-3</v>
      </c>
      <c r="G193">
        <v>11.34</v>
      </c>
      <c r="H193">
        <v>13.67</v>
      </c>
      <c r="I193">
        <v>160</v>
      </c>
      <c r="J193">
        <v>151</v>
      </c>
      <c r="K193">
        <v>783</v>
      </c>
      <c r="L193" s="2">
        <v>3.530092592592592E-3</v>
      </c>
      <c r="M193" s="2">
        <v>1.8032407407407407E-2</v>
      </c>
      <c r="N193" s="2">
        <v>3.6759259259259255E-2</v>
      </c>
      <c r="O193" s="2">
        <v>0</v>
      </c>
      <c r="P193" s="2">
        <v>0</v>
      </c>
    </row>
    <row r="194" spans="1:16" x14ac:dyDescent="0.3">
      <c r="A194" s="1">
        <v>44082.962546296294</v>
      </c>
      <c r="B194" s="1">
        <v>44083.010960648149</v>
      </c>
      <c r="C194">
        <v>68.95</v>
      </c>
      <c r="D194" s="2">
        <v>4.7881944444444442E-2</v>
      </c>
      <c r="E194">
        <v>13.58</v>
      </c>
      <c r="F194" s="2">
        <v>3.5185185185185185E-3</v>
      </c>
      <c r="G194">
        <v>11.82</v>
      </c>
      <c r="H194">
        <v>14.97</v>
      </c>
      <c r="I194">
        <v>168</v>
      </c>
      <c r="J194">
        <v>157</v>
      </c>
      <c r="K194">
        <v>1015</v>
      </c>
      <c r="L194" s="2">
        <v>3.1712962962962958E-3</v>
      </c>
      <c r="M194" s="2">
        <v>1.7291666666666667E-2</v>
      </c>
      <c r="N194" s="2">
        <v>3.4942129629629635E-2</v>
      </c>
      <c r="O194" s="2">
        <v>0</v>
      </c>
      <c r="P194" s="2">
        <v>0</v>
      </c>
    </row>
    <row r="195" spans="1:16" x14ac:dyDescent="0.3">
      <c r="A195" s="1">
        <v>44084.950902777775</v>
      </c>
      <c r="B195" s="1">
        <v>44085.007337962961</v>
      </c>
      <c r="C195">
        <v>79.430000000000007</v>
      </c>
      <c r="D195" s="2">
        <v>5.5150462962962964E-2</v>
      </c>
      <c r="E195">
        <v>15.329000000000001</v>
      </c>
      <c r="F195" s="2">
        <v>3.5879629629629629E-3</v>
      </c>
      <c r="G195">
        <v>11.58</v>
      </c>
      <c r="H195">
        <v>16.03</v>
      </c>
      <c r="I195">
        <v>170</v>
      </c>
      <c r="J195">
        <v>159</v>
      </c>
      <c r="K195">
        <v>1119</v>
      </c>
      <c r="L195" s="2">
        <v>3.1018518518518522E-3</v>
      </c>
      <c r="M195" s="2">
        <v>1.7719907407407406E-2</v>
      </c>
      <c r="N195" s="2">
        <v>3.5486111111111114E-2</v>
      </c>
      <c r="O195" s="2">
        <v>0</v>
      </c>
      <c r="P195" s="2">
        <v>0</v>
      </c>
    </row>
    <row r="196" spans="1:16" x14ac:dyDescent="0.3">
      <c r="A196" s="1">
        <v>44086.900509259256</v>
      </c>
      <c r="B196" s="1">
        <v>44086.936597222222</v>
      </c>
      <c r="C196">
        <v>51.97</v>
      </c>
      <c r="D196" s="2">
        <v>3.6076388888888887E-2</v>
      </c>
      <c r="E196">
        <v>10.071</v>
      </c>
      <c r="F196" s="2">
        <v>3.5763888888888894E-3</v>
      </c>
      <c r="G196">
        <v>11.63</v>
      </c>
      <c r="H196">
        <v>15.8</v>
      </c>
      <c r="I196">
        <v>164</v>
      </c>
      <c r="J196">
        <v>152</v>
      </c>
      <c r="K196">
        <v>733</v>
      </c>
      <c r="L196" s="2">
        <v>3.3564814814814811E-3</v>
      </c>
      <c r="M196" s="2">
        <v>1.7499999999999998E-2</v>
      </c>
      <c r="N196" s="2">
        <v>3.5821759259259262E-2</v>
      </c>
      <c r="O196" s="2">
        <v>0</v>
      </c>
      <c r="P196" s="2">
        <v>0</v>
      </c>
    </row>
    <row r="197" spans="1:16" x14ac:dyDescent="0.3">
      <c r="A197" s="1">
        <v>44088.84784722222</v>
      </c>
      <c r="B197" s="1">
        <v>44088.884409722225</v>
      </c>
      <c r="C197">
        <v>52.65</v>
      </c>
      <c r="D197" s="2">
        <v>3.6550925925925924E-2</v>
      </c>
      <c r="E197">
        <v>10.117000000000001</v>
      </c>
      <c r="F197" s="2">
        <v>3.6111111111111114E-3</v>
      </c>
      <c r="G197">
        <v>11.53</v>
      </c>
      <c r="H197">
        <v>18.149999999999999</v>
      </c>
      <c r="I197">
        <v>161</v>
      </c>
      <c r="J197">
        <v>146</v>
      </c>
      <c r="K197">
        <v>762</v>
      </c>
      <c r="L197" s="2">
        <v>3.4027777777777784E-3</v>
      </c>
      <c r="M197" s="2">
        <v>1.7777777777777778E-2</v>
      </c>
      <c r="N197" s="2">
        <v>3.6064814814814813E-2</v>
      </c>
      <c r="O197" s="2">
        <v>0</v>
      </c>
      <c r="P197" s="2">
        <v>0</v>
      </c>
    </row>
    <row r="198" spans="1:16" x14ac:dyDescent="0.3">
      <c r="A198" s="1">
        <v>44091.922083333331</v>
      </c>
      <c r="B198" s="1">
        <v>44091.959953703707</v>
      </c>
      <c r="C198">
        <v>54.53</v>
      </c>
      <c r="D198" s="2">
        <v>3.78587962962963E-2</v>
      </c>
      <c r="E198">
        <v>10.016</v>
      </c>
      <c r="F198" s="2">
        <v>3.7731481481481483E-3</v>
      </c>
      <c r="G198">
        <v>11.02</v>
      </c>
      <c r="H198">
        <v>13.67</v>
      </c>
      <c r="I198">
        <v>164</v>
      </c>
      <c r="J198">
        <v>150</v>
      </c>
      <c r="K198">
        <v>779</v>
      </c>
      <c r="L198" s="2">
        <v>3.5532407407407405E-3</v>
      </c>
      <c r="M198" s="2">
        <v>1.8576388888888889E-2</v>
      </c>
      <c r="N198" s="2">
        <v>3.7777777777777778E-2</v>
      </c>
      <c r="O198" s="2">
        <v>0</v>
      </c>
      <c r="P198" s="2">
        <v>0</v>
      </c>
    </row>
    <row r="199" spans="1:16" x14ac:dyDescent="0.3">
      <c r="A199" s="1">
        <v>44095.949328703704</v>
      </c>
      <c r="B199" s="1">
        <v>44096.009513888886</v>
      </c>
      <c r="C199">
        <v>86.66</v>
      </c>
      <c r="D199" s="2">
        <v>6.0173611111111108E-2</v>
      </c>
      <c r="E199">
        <v>17.152000000000001</v>
      </c>
      <c r="F199" s="2">
        <v>3.5069444444444445E-3</v>
      </c>
      <c r="G199">
        <v>11.87</v>
      </c>
      <c r="H199">
        <v>14.43</v>
      </c>
      <c r="I199">
        <v>165</v>
      </c>
      <c r="J199">
        <v>153</v>
      </c>
      <c r="K199">
        <v>1253</v>
      </c>
      <c r="L199" s="2">
        <v>3.0787037037037037E-3</v>
      </c>
      <c r="M199" s="2">
        <v>1.6712962962962961E-2</v>
      </c>
      <c r="N199" s="2">
        <v>3.4166666666666672E-2</v>
      </c>
      <c r="O199" s="2">
        <v>0</v>
      </c>
      <c r="P199" s="2">
        <v>0</v>
      </c>
    </row>
    <row r="200" spans="1:16" x14ac:dyDescent="0.3">
      <c r="A200" s="1">
        <v>44098.994409722225</v>
      </c>
      <c r="B200" s="1">
        <v>44099.047997685186</v>
      </c>
      <c r="C200">
        <v>77.17</v>
      </c>
      <c r="D200" s="2">
        <v>5.3587962962962969E-2</v>
      </c>
      <c r="E200">
        <v>15.337999999999999</v>
      </c>
      <c r="F200" s="2">
        <v>3.483796296296296E-3</v>
      </c>
      <c r="G200">
        <v>11.93</v>
      </c>
      <c r="H200">
        <v>19.559999999999999</v>
      </c>
      <c r="I200">
        <v>165</v>
      </c>
      <c r="J200">
        <v>145</v>
      </c>
      <c r="K200">
        <v>1121</v>
      </c>
      <c r="L200" s="2">
        <v>2.9976851851851848E-3</v>
      </c>
      <c r="M200" s="2">
        <v>1.6284722222222221E-2</v>
      </c>
      <c r="N200" s="2">
        <v>3.4062500000000002E-2</v>
      </c>
      <c r="O200" s="2">
        <v>0</v>
      </c>
      <c r="P200" s="2">
        <v>0</v>
      </c>
    </row>
    <row r="201" spans="1:16" x14ac:dyDescent="0.3">
      <c r="A201" s="1">
        <v>44100.88921296296</v>
      </c>
      <c r="B201" s="1">
        <v>44100.936273148145</v>
      </c>
      <c r="C201">
        <v>67.77</v>
      </c>
      <c r="D201" s="2">
        <v>4.704861111111111E-2</v>
      </c>
      <c r="E201">
        <v>12.009</v>
      </c>
      <c r="F201" s="2">
        <v>3.9120370370370368E-3</v>
      </c>
      <c r="G201">
        <v>10.63</v>
      </c>
      <c r="H201">
        <v>16.36</v>
      </c>
      <c r="I201">
        <v>157</v>
      </c>
      <c r="J201">
        <v>138</v>
      </c>
      <c r="K201">
        <v>905</v>
      </c>
      <c r="L201" s="2">
        <v>3.4375E-3</v>
      </c>
      <c r="M201" s="2">
        <v>1.7777777777777778E-2</v>
      </c>
      <c r="N201" s="2">
        <v>3.8101851851851852E-2</v>
      </c>
      <c r="O201" s="2">
        <v>0</v>
      </c>
      <c r="P201" s="2">
        <v>0</v>
      </c>
    </row>
    <row r="202" spans="1:16" x14ac:dyDescent="0.3">
      <c r="A202" s="1">
        <v>44103.838136574072</v>
      </c>
      <c r="B202" s="1">
        <v>44103.875011574077</v>
      </c>
      <c r="C202">
        <v>53.1</v>
      </c>
      <c r="D202" s="2">
        <v>3.6863425925925931E-2</v>
      </c>
      <c r="E202">
        <v>10.292</v>
      </c>
      <c r="F202" s="2">
        <v>3.5763888888888894E-3</v>
      </c>
      <c r="G202">
        <v>11.63</v>
      </c>
      <c r="H202">
        <v>15.07</v>
      </c>
      <c r="I202">
        <v>165</v>
      </c>
      <c r="J202">
        <v>148</v>
      </c>
      <c r="K202">
        <v>769</v>
      </c>
      <c r="L202" s="2">
        <v>3.3680555555555551E-3</v>
      </c>
      <c r="M202" s="2">
        <v>1.7523148148148149E-2</v>
      </c>
      <c r="N202" s="2">
        <v>3.5694444444444445E-2</v>
      </c>
      <c r="O202" s="2">
        <v>0</v>
      </c>
      <c r="P202" s="2">
        <v>0</v>
      </c>
    </row>
    <row r="203" spans="1:16" x14ac:dyDescent="0.3">
      <c r="A203" s="1">
        <v>44105.950266203705</v>
      </c>
      <c r="B203" s="1">
        <v>44105.95989583333</v>
      </c>
      <c r="C203">
        <v>13.79</v>
      </c>
      <c r="D203" s="2">
        <v>9.571759259259259E-3</v>
      </c>
      <c r="E203">
        <v>2.6989999999999998</v>
      </c>
      <c r="F203" s="2">
        <v>3.5416666666666665E-3</v>
      </c>
      <c r="G203">
        <v>11.74</v>
      </c>
      <c r="H203">
        <v>14.43</v>
      </c>
      <c r="I203">
        <v>165</v>
      </c>
      <c r="J203">
        <v>157</v>
      </c>
      <c r="K203">
        <v>196</v>
      </c>
      <c r="L203" s="2">
        <v>3.2523148148148151E-3</v>
      </c>
      <c r="M203" s="2">
        <v>0</v>
      </c>
      <c r="N203" s="2">
        <v>0</v>
      </c>
      <c r="O203" s="2">
        <v>0</v>
      </c>
      <c r="P203" s="2">
        <v>0</v>
      </c>
    </row>
    <row r="204" spans="1:16" x14ac:dyDescent="0.3">
      <c r="A204" s="1">
        <v>44105.963807870372</v>
      </c>
      <c r="B204" s="1">
        <v>44106.002326388887</v>
      </c>
      <c r="C204">
        <v>55.47</v>
      </c>
      <c r="D204" s="2">
        <v>3.8518518518518521E-2</v>
      </c>
      <c r="E204">
        <v>8.1639999999999997</v>
      </c>
      <c r="F204" s="2">
        <v>4.7106481481481478E-3</v>
      </c>
      <c r="G204">
        <v>8.83</v>
      </c>
      <c r="H204">
        <v>15.3</v>
      </c>
      <c r="I204">
        <v>164</v>
      </c>
      <c r="J204">
        <v>127</v>
      </c>
      <c r="K204">
        <v>641</v>
      </c>
      <c r="L204" s="2">
        <v>3.5648148148148154E-3</v>
      </c>
      <c r="M204" s="2">
        <v>2.3576388888888893E-2</v>
      </c>
      <c r="N204" s="2">
        <v>0</v>
      </c>
      <c r="O204" s="2">
        <v>0</v>
      </c>
      <c r="P204" s="2">
        <v>0</v>
      </c>
    </row>
    <row r="205" spans="1:16" x14ac:dyDescent="0.3">
      <c r="A205" s="1">
        <v>44108.865115740744</v>
      </c>
      <c r="B205" s="1">
        <v>44108.897777777776</v>
      </c>
      <c r="C205">
        <v>47.03</v>
      </c>
      <c r="D205" s="2">
        <v>3.2650462962962964E-2</v>
      </c>
      <c r="E205">
        <v>8.0340000000000007</v>
      </c>
      <c r="F205" s="2">
        <v>4.0624999999999993E-3</v>
      </c>
      <c r="G205">
        <v>10.25</v>
      </c>
      <c r="H205">
        <v>14.97</v>
      </c>
      <c r="I205">
        <v>168</v>
      </c>
      <c r="J205">
        <v>132</v>
      </c>
      <c r="K205">
        <v>635</v>
      </c>
      <c r="L205" s="2">
        <v>3.2986111111111111E-3</v>
      </c>
      <c r="M205" s="2">
        <v>1.9629629629629629E-2</v>
      </c>
      <c r="N205" s="2">
        <v>0</v>
      </c>
      <c r="O205" s="2">
        <v>0</v>
      </c>
      <c r="P205" s="2">
        <v>0</v>
      </c>
    </row>
    <row r="206" spans="1:16" x14ac:dyDescent="0.3">
      <c r="A206" s="1">
        <v>44109.847268518519</v>
      </c>
      <c r="B206" s="1">
        <v>44109.883217592593</v>
      </c>
      <c r="C206">
        <v>51.36</v>
      </c>
      <c r="D206" s="2">
        <v>3.5659722222222225E-2</v>
      </c>
      <c r="E206">
        <v>10.032</v>
      </c>
      <c r="F206" s="2">
        <v>3.5532407407407405E-3</v>
      </c>
      <c r="G206">
        <v>11.72</v>
      </c>
      <c r="H206">
        <v>18.489999999999998</v>
      </c>
      <c r="I206">
        <v>166</v>
      </c>
      <c r="J206">
        <v>143</v>
      </c>
      <c r="K206">
        <v>733</v>
      </c>
      <c r="L206" s="2">
        <v>3.2175925925925926E-3</v>
      </c>
      <c r="M206" s="2">
        <v>1.726851851851852E-2</v>
      </c>
      <c r="N206" s="2">
        <v>3.5543981481481475E-2</v>
      </c>
      <c r="O206" s="2">
        <v>0</v>
      </c>
      <c r="P206" s="2">
        <v>0</v>
      </c>
    </row>
    <row r="207" spans="1:16" x14ac:dyDescent="0.3">
      <c r="A207" s="1">
        <v>44114.900196759256</v>
      </c>
      <c r="B207" s="1">
        <v>44114.936805555553</v>
      </c>
      <c r="C207">
        <v>52.72</v>
      </c>
      <c r="D207" s="2">
        <v>3.6608796296296299E-2</v>
      </c>
      <c r="E207">
        <v>10.02</v>
      </c>
      <c r="F207" s="2">
        <v>3.645833333333333E-3</v>
      </c>
      <c r="G207">
        <v>11.4</v>
      </c>
      <c r="H207">
        <v>15.75</v>
      </c>
      <c r="I207">
        <v>165</v>
      </c>
      <c r="J207">
        <v>150</v>
      </c>
      <c r="K207">
        <v>782</v>
      </c>
      <c r="L207" s="2">
        <v>3.4606481481481485E-3</v>
      </c>
      <c r="M207" s="2">
        <v>1.7962962962962962E-2</v>
      </c>
      <c r="N207" s="2">
        <v>3.6516203703703703E-2</v>
      </c>
      <c r="O207" s="2">
        <v>0</v>
      </c>
      <c r="P207" s="2">
        <v>0</v>
      </c>
    </row>
    <row r="208" spans="1:16" x14ac:dyDescent="0.3">
      <c r="A208" s="1">
        <v>44116.84883101852</v>
      </c>
      <c r="B208" s="1">
        <v>44116.885289351849</v>
      </c>
      <c r="C208">
        <v>52.5</v>
      </c>
      <c r="D208" s="2">
        <v>3.6446759259259262E-2</v>
      </c>
      <c r="E208">
        <v>10.289</v>
      </c>
      <c r="F208" s="2">
        <v>3.5416666666666665E-3</v>
      </c>
      <c r="G208">
        <v>11.76</v>
      </c>
      <c r="H208">
        <v>19.05</v>
      </c>
      <c r="I208">
        <v>169</v>
      </c>
      <c r="J208">
        <v>153</v>
      </c>
      <c r="K208">
        <v>742</v>
      </c>
      <c r="L208" s="2">
        <v>3.2291666666666666E-3</v>
      </c>
      <c r="M208" s="2">
        <v>1.6921296296296299E-2</v>
      </c>
      <c r="N208" s="2">
        <v>3.5231481481481482E-2</v>
      </c>
      <c r="O208" s="2">
        <v>0</v>
      </c>
      <c r="P208" s="2">
        <v>0</v>
      </c>
    </row>
    <row r="209" spans="1:16" x14ac:dyDescent="0.3">
      <c r="A209" s="1">
        <v>44118.803495370368</v>
      </c>
      <c r="B209" s="1">
        <v>44118.839768518519</v>
      </c>
      <c r="C209">
        <v>52.23</v>
      </c>
      <c r="D209" s="2">
        <v>3.6261574074074078E-2</v>
      </c>
      <c r="E209">
        <v>10.028</v>
      </c>
      <c r="F209" s="2">
        <v>3.6111111111111114E-3</v>
      </c>
      <c r="G209">
        <v>11.52</v>
      </c>
      <c r="H209">
        <v>15.55</v>
      </c>
      <c r="I209">
        <v>165</v>
      </c>
      <c r="J209">
        <v>151</v>
      </c>
      <c r="K209">
        <v>738</v>
      </c>
      <c r="L209" s="2">
        <v>3.2175925925925926E-3</v>
      </c>
      <c r="M209" s="2">
        <v>1.7291666666666667E-2</v>
      </c>
      <c r="N209" s="2">
        <v>3.6122685185185181E-2</v>
      </c>
      <c r="O209" s="2">
        <v>0</v>
      </c>
      <c r="P209" s="2">
        <v>0</v>
      </c>
    </row>
    <row r="210" spans="1:16" x14ac:dyDescent="0.3">
      <c r="A210" s="1">
        <v>44120.64234953704</v>
      </c>
      <c r="B210" s="1">
        <v>44120.671342592592</v>
      </c>
      <c r="C210">
        <v>41.75</v>
      </c>
      <c r="D210" s="2">
        <v>2.8981481481481483E-2</v>
      </c>
      <c r="E210">
        <v>8.9220000000000006</v>
      </c>
      <c r="F210" s="2">
        <v>3.2407407407407406E-3</v>
      </c>
      <c r="G210">
        <v>12.82</v>
      </c>
      <c r="H210">
        <v>15.78</v>
      </c>
      <c r="I210">
        <v>172</v>
      </c>
      <c r="J210">
        <v>162</v>
      </c>
      <c r="K210">
        <v>613</v>
      </c>
      <c r="L210" s="2">
        <v>3.0208333333333333E-3</v>
      </c>
      <c r="M210" s="2">
        <v>1.579861111111111E-2</v>
      </c>
      <c r="N210" s="2">
        <v>0</v>
      </c>
      <c r="O210" s="2">
        <v>0</v>
      </c>
      <c r="P210" s="2">
        <v>0</v>
      </c>
    </row>
    <row r="211" spans="1:16" x14ac:dyDescent="0.3">
      <c r="A211" s="1">
        <v>44121.882824074077</v>
      </c>
      <c r="B211" s="1">
        <v>44121.92664351852</v>
      </c>
      <c r="C211">
        <v>63.1</v>
      </c>
      <c r="D211" s="2">
        <v>4.3807870370370372E-2</v>
      </c>
      <c r="E211">
        <v>12.35</v>
      </c>
      <c r="F211" s="2">
        <v>3.5416666666666665E-3</v>
      </c>
      <c r="G211">
        <v>11.74</v>
      </c>
      <c r="H211">
        <v>15.06</v>
      </c>
      <c r="I211">
        <v>165</v>
      </c>
      <c r="J211">
        <v>147</v>
      </c>
      <c r="K211">
        <v>910</v>
      </c>
      <c r="L211" s="2">
        <v>3.3217592592592591E-3</v>
      </c>
      <c r="M211" s="2">
        <v>1.7141203703703704E-2</v>
      </c>
      <c r="N211" s="2">
        <v>3.5127314814814813E-2</v>
      </c>
      <c r="O211" s="2">
        <v>0</v>
      </c>
      <c r="P211" s="2">
        <v>0</v>
      </c>
    </row>
    <row r="212" spans="1:16" x14ac:dyDescent="0.3">
      <c r="A212" s="1">
        <v>44124.821134259262</v>
      </c>
      <c r="B212" s="1">
        <v>44124.883888888886</v>
      </c>
      <c r="C212">
        <v>90.37</v>
      </c>
      <c r="D212" s="2">
        <v>6.2743055555555552E-2</v>
      </c>
      <c r="E212">
        <v>18.163</v>
      </c>
      <c r="F212" s="2">
        <v>3.4490740740740745E-3</v>
      </c>
      <c r="G212">
        <v>12.06</v>
      </c>
      <c r="H212">
        <v>16.66</v>
      </c>
      <c r="I212">
        <v>165</v>
      </c>
      <c r="J212">
        <v>150</v>
      </c>
      <c r="K212">
        <v>1321</v>
      </c>
      <c r="L212" s="2">
        <v>3.0671296296296297E-3</v>
      </c>
      <c r="M212" s="2">
        <v>1.6585648148148148E-2</v>
      </c>
      <c r="N212" s="2">
        <v>3.4062500000000002E-2</v>
      </c>
      <c r="O212" s="2">
        <v>0</v>
      </c>
      <c r="P212" s="2">
        <v>0</v>
      </c>
    </row>
    <row r="213" spans="1:16" x14ac:dyDescent="0.3">
      <c r="A213" s="1">
        <v>44128.88789351852</v>
      </c>
      <c r="B213" s="1">
        <v>44128.925671296296</v>
      </c>
      <c r="C213">
        <v>54.4</v>
      </c>
      <c r="D213" s="2">
        <v>3.7766203703703705E-2</v>
      </c>
      <c r="E213">
        <v>10.039</v>
      </c>
      <c r="F213" s="2">
        <v>3.7615740740740739E-3</v>
      </c>
      <c r="G213">
        <v>11.07</v>
      </c>
      <c r="H213">
        <v>14.47</v>
      </c>
      <c r="I213">
        <v>163</v>
      </c>
      <c r="J213">
        <v>144</v>
      </c>
      <c r="K213">
        <v>783</v>
      </c>
      <c r="L213" s="2">
        <v>3.6111111111111114E-3</v>
      </c>
      <c r="M213" s="2">
        <v>1.8506944444444444E-2</v>
      </c>
      <c r="N213" s="2">
        <v>3.7604166666666668E-2</v>
      </c>
      <c r="O213" s="2">
        <v>0</v>
      </c>
      <c r="P213" s="2">
        <v>0</v>
      </c>
    </row>
    <row r="214" spans="1:16" x14ac:dyDescent="0.3">
      <c r="A214" s="1">
        <v>44130.81689814815</v>
      </c>
      <c r="B214" s="1">
        <v>44130.854166666664</v>
      </c>
      <c r="C214">
        <v>53.67</v>
      </c>
      <c r="D214" s="2">
        <v>3.7256944444444447E-2</v>
      </c>
      <c r="E214">
        <v>10.189</v>
      </c>
      <c r="F214" s="2">
        <v>3.6574074074074074E-3</v>
      </c>
      <c r="G214">
        <v>11.39</v>
      </c>
      <c r="H214">
        <v>17.579999999999998</v>
      </c>
      <c r="I214">
        <v>167</v>
      </c>
      <c r="J214">
        <v>150</v>
      </c>
      <c r="K214">
        <v>766</v>
      </c>
      <c r="L214" s="2">
        <v>3.4953703703703705E-3</v>
      </c>
      <c r="M214" s="2">
        <v>1.8020833333333333E-2</v>
      </c>
      <c r="N214" s="2">
        <v>3.636574074074074E-2</v>
      </c>
      <c r="O214" s="2">
        <v>0</v>
      </c>
      <c r="P214" s="2">
        <v>0</v>
      </c>
    </row>
    <row r="215" spans="1:16" x14ac:dyDescent="0.3">
      <c r="A215" s="1">
        <v>44133.966481481482</v>
      </c>
      <c r="B215" s="1">
        <v>44134.011747685188</v>
      </c>
      <c r="C215">
        <v>65.180000000000007</v>
      </c>
      <c r="D215" s="2">
        <v>4.5254629629629624E-2</v>
      </c>
      <c r="E215">
        <v>12.272</v>
      </c>
      <c r="F215" s="2">
        <v>3.6805555555555554E-3</v>
      </c>
      <c r="G215">
        <v>11.3</v>
      </c>
      <c r="H215">
        <v>17.489999999999998</v>
      </c>
      <c r="I215">
        <v>160</v>
      </c>
      <c r="J215">
        <v>150</v>
      </c>
      <c r="K215">
        <v>919</v>
      </c>
      <c r="L215" s="2">
        <v>3.4490740740740745E-3</v>
      </c>
      <c r="M215" s="2">
        <v>1.8055555555555557E-2</v>
      </c>
      <c r="N215" s="2">
        <v>3.6469907407407402E-2</v>
      </c>
      <c r="O215" s="2">
        <v>0</v>
      </c>
      <c r="P215" s="2">
        <v>0</v>
      </c>
    </row>
    <row r="216" spans="1:16" x14ac:dyDescent="0.3">
      <c r="A216" s="1">
        <v>44135.828784722224</v>
      </c>
      <c r="B216" s="1">
        <v>44135.866875</v>
      </c>
      <c r="C216">
        <v>54.85</v>
      </c>
      <c r="D216" s="2">
        <v>3.8078703703703705E-2</v>
      </c>
      <c r="E216">
        <v>10.741</v>
      </c>
      <c r="F216" s="2">
        <v>3.5416666666666665E-3</v>
      </c>
      <c r="G216">
        <v>11.75</v>
      </c>
      <c r="H216">
        <v>15.07</v>
      </c>
      <c r="I216">
        <v>165</v>
      </c>
      <c r="J216">
        <v>150</v>
      </c>
      <c r="K216">
        <v>793</v>
      </c>
      <c r="L216" s="2">
        <v>3.1365740740740742E-3</v>
      </c>
      <c r="M216" s="2">
        <v>1.6944444444444443E-2</v>
      </c>
      <c r="N216" s="2">
        <v>3.5127314814814813E-2</v>
      </c>
      <c r="O216" s="2">
        <v>0</v>
      </c>
      <c r="P216" s="2">
        <v>0</v>
      </c>
    </row>
    <row r="217" spans="1:16" x14ac:dyDescent="0.3">
      <c r="A217" s="1">
        <v>44137.816701388889</v>
      </c>
      <c r="B217" s="1">
        <v>44137.851817129631</v>
      </c>
      <c r="C217">
        <v>50.57</v>
      </c>
      <c r="D217" s="2">
        <v>3.5115740740740746E-2</v>
      </c>
      <c r="E217">
        <v>10.032999999999999</v>
      </c>
      <c r="F217" s="2">
        <v>3.4953703703703705E-3</v>
      </c>
      <c r="G217">
        <v>11.9</v>
      </c>
      <c r="H217">
        <v>16.62</v>
      </c>
      <c r="I217">
        <v>172</v>
      </c>
      <c r="J217">
        <v>158</v>
      </c>
      <c r="K217">
        <v>723</v>
      </c>
      <c r="L217" s="2">
        <v>2.9745370370370373E-3</v>
      </c>
      <c r="M217" s="2">
        <v>1.650462962962963E-2</v>
      </c>
      <c r="N217" s="2">
        <v>3.4999999999999996E-2</v>
      </c>
      <c r="O217" s="2">
        <v>0</v>
      </c>
      <c r="P217" s="2">
        <v>0</v>
      </c>
    </row>
    <row r="218" spans="1:16" x14ac:dyDescent="0.3">
      <c r="A218" s="1">
        <v>44142.862372685187</v>
      </c>
      <c r="B218" s="1">
        <v>44142.89607638889</v>
      </c>
      <c r="C218">
        <v>48.53</v>
      </c>
      <c r="D218" s="2">
        <v>3.3692129629629627E-2</v>
      </c>
      <c r="E218">
        <v>10.066000000000001</v>
      </c>
      <c r="F218" s="2">
        <v>3.3449074074074071E-3</v>
      </c>
      <c r="G218">
        <v>12.44</v>
      </c>
      <c r="H218">
        <v>14.96</v>
      </c>
      <c r="I218">
        <v>168</v>
      </c>
      <c r="J218">
        <v>151</v>
      </c>
      <c r="K218">
        <v>731</v>
      </c>
      <c r="L218" s="2">
        <v>2.9513888888888888E-3</v>
      </c>
      <c r="M218" s="2">
        <v>1.6111111111111111E-2</v>
      </c>
      <c r="N218" s="2">
        <v>3.3460648148148149E-2</v>
      </c>
      <c r="O218" s="2">
        <v>0</v>
      </c>
      <c r="P218" s="2">
        <v>0</v>
      </c>
    </row>
    <row r="219" spans="1:16" x14ac:dyDescent="0.3">
      <c r="A219" s="1">
        <v>44144.876435185186</v>
      </c>
      <c r="B219" s="1">
        <v>44144.9059375</v>
      </c>
      <c r="C219">
        <v>42.48</v>
      </c>
      <c r="D219" s="2">
        <v>2.9490740740740744E-2</v>
      </c>
      <c r="E219">
        <v>10.018000000000001</v>
      </c>
      <c r="F219" s="2">
        <v>2.9398148148148148E-3</v>
      </c>
      <c r="G219">
        <v>14.15</v>
      </c>
      <c r="H219">
        <v>16.03</v>
      </c>
      <c r="I219">
        <v>181</v>
      </c>
      <c r="J219">
        <v>173</v>
      </c>
      <c r="K219">
        <v>677</v>
      </c>
      <c r="L219" s="2">
        <v>2.7777777777777779E-3</v>
      </c>
      <c r="M219" s="2">
        <v>1.4305555555555557E-2</v>
      </c>
      <c r="N219" s="2">
        <v>2.9421296296296296E-2</v>
      </c>
      <c r="O219" s="2">
        <v>0</v>
      </c>
      <c r="P219" s="2">
        <v>0</v>
      </c>
    </row>
    <row r="220" spans="1:16" x14ac:dyDescent="0.3">
      <c r="A220" s="1">
        <v>44144.912685185183</v>
      </c>
      <c r="B220" s="1">
        <v>44144.938240740739</v>
      </c>
      <c r="C220">
        <v>36.409999999999997</v>
      </c>
      <c r="D220" s="2">
        <v>2.5277777777777777E-2</v>
      </c>
      <c r="E220">
        <v>7.1150000000000002</v>
      </c>
      <c r="F220" s="2">
        <v>3.5532407407407405E-3</v>
      </c>
      <c r="G220">
        <v>11.72</v>
      </c>
      <c r="H220">
        <v>17.7</v>
      </c>
      <c r="I220">
        <v>166</v>
      </c>
      <c r="J220">
        <v>145</v>
      </c>
      <c r="K220">
        <v>532</v>
      </c>
      <c r="L220" s="2">
        <v>3.0787037037037037E-3</v>
      </c>
      <c r="M220" s="2">
        <v>1.7546296296296296E-2</v>
      </c>
      <c r="N220" s="2">
        <v>0</v>
      </c>
      <c r="O220" s="2">
        <v>0</v>
      </c>
      <c r="P220" s="2">
        <v>0</v>
      </c>
    </row>
    <row r="221" spans="1:16" x14ac:dyDescent="0.3">
      <c r="A221" s="1">
        <v>44147.986817129633</v>
      </c>
      <c r="B221" s="1">
        <v>44148.032141203701</v>
      </c>
      <c r="C221">
        <v>65.27</v>
      </c>
      <c r="D221" s="2">
        <v>4.5312499999999999E-2</v>
      </c>
      <c r="E221">
        <v>13.250999999999999</v>
      </c>
      <c r="F221" s="2">
        <v>3.414351851851852E-3</v>
      </c>
      <c r="G221">
        <v>12.18</v>
      </c>
      <c r="H221">
        <v>17.579999999999998</v>
      </c>
      <c r="I221">
        <v>174</v>
      </c>
      <c r="J221">
        <v>150</v>
      </c>
      <c r="K221">
        <v>966</v>
      </c>
      <c r="L221" s="2">
        <v>3.0787037037037037E-3</v>
      </c>
      <c r="M221" s="2">
        <v>1.622685185185185E-2</v>
      </c>
      <c r="N221" s="2">
        <v>3.3310185185185186E-2</v>
      </c>
      <c r="O221" s="2">
        <v>0</v>
      </c>
      <c r="P221" s="2">
        <v>0</v>
      </c>
    </row>
    <row r="222" spans="1:16" x14ac:dyDescent="0.3">
      <c r="A222" s="1">
        <v>44149.81627314815</v>
      </c>
      <c r="B222" s="1">
        <v>44149.851574074077</v>
      </c>
      <c r="C222">
        <v>50.83</v>
      </c>
      <c r="D222" s="2">
        <v>3.5289351851851856E-2</v>
      </c>
      <c r="E222">
        <v>10.032999999999999</v>
      </c>
      <c r="F222" s="2">
        <v>3.5069444444444445E-3</v>
      </c>
      <c r="G222">
        <v>11.84</v>
      </c>
      <c r="H222">
        <v>17.600000000000001</v>
      </c>
      <c r="I222">
        <v>161</v>
      </c>
      <c r="J222">
        <v>92</v>
      </c>
      <c r="K222">
        <v>716</v>
      </c>
      <c r="L222" s="2">
        <v>3.2060185185185191E-3</v>
      </c>
      <c r="M222" s="2">
        <v>1.695601851851852E-2</v>
      </c>
      <c r="N222" s="2">
        <v>3.5196759259259254E-2</v>
      </c>
      <c r="O222" s="2">
        <v>0</v>
      </c>
      <c r="P222" s="2">
        <v>0</v>
      </c>
    </row>
    <row r="223" spans="1:16" x14ac:dyDescent="0.3">
      <c r="A223" s="1">
        <v>44154.826018518521</v>
      </c>
      <c r="B223" s="1">
        <v>44154.862696759257</v>
      </c>
      <c r="C223">
        <v>52.82</v>
      </c>
      <c r="D223" s="2">
        <v>3.667824074074074E-2</v>
      </c>
      <c r="E223">
        <v>10.164</v>
      </c>
      <c r="F223" s="2">
        <v>3.5995370370370369E-3</v>
      </c>
      <c r="G223">
        <v>11.55</v>
      </c>
      <c r="H223">
        <v>17.47</v>
      </c>
      <c r="I223">
        <v>161</v>
      </c>
      <c r="J223">
        <v>150</v>
      </c>
      <c r="K223">
        <v>727</v>
      </c>
      <c r="L223" s="2">
        <v>3.3564814814814811E-3</v>
      </c>
      <c r="M223" s="2">
        <v>1.7824074074074076E-2</v>
      </c>
      <c r="N223" s="2">
        <v>3.5868055555555556E-2</v>
      </c>
      <c r="O223" s="2">
        <v>0</v>
      </c>
      <c r="P223" s="2">
        <v>0</v>
      </c>
    </row>
    <row r="224" spans="1:16" x14ac:dyDescent="0.3">
      <c r="A224" s="1">
        <v>44156.935925925929</v>
      </c>
      <c r="B224" s="1">
        <v>44156.989861111113</v>
      </c>
      <c r="C224">
        <v>77.14</v>
      </c>
      <c r="D224" s="2">
        <v>5.3564814814814815E-2</v>
      </c>
      <c r="E224">
        <v>15.571999999999999</v>
      </c>
      <c r="F224" s="2">
        <v>3.4375E-3</v>
      </c>
      <c r="G224">
        <v>12.11</v>
      </c>
      <c r="H224">
        <v>15.77</v>
      </c>
      <c r="I224">
        <v>171</v>
      </c>
      <c r="J224">
        <v>154</v>
      </c>
      <c r="K224">
        <v>1137</v>
      </c>
      <c r="L224" s="2">
        <v>3.1944444444444442E-3</v>
      </c>
      <c r="M224" s="2">
        <v>1.6782407407407409E-2</v>
      </c>
      <c r="N224" s="2">
        <v>3.3761574074074076E-2</v>
      </c>
      <c r="O224" s="2">
        <v>0</v>
      </c>
      <c r="P224" s="2">
        <v>0</v>
      </c>
    </row>
    <row r="225" spans="1:16" x14ac:dyDescent="0.3">
      <c r="A225" s="1">
        <v>44159.943865740737</v>
      </c>
      <c r="B225" s="1">
        <v>44159.982569444444</v>
      </c>
      <c r="C225">
        <v>55.73</v>
      </c>
      <c r="D225" s="2">
        <v>3.8692129629629632E-2</v>
      </c>
      <c r="E225">
        <v>11.38</v>
      </c>
      <c r="F225" s="2">
        <v>3.3912037037037036E-3</v>
      </c>
      <c r="G225">
        <v>12.25</v>
      </c>
      <c r="H225">
        <v>18.22</v>
      </c>
      <c r="I225">
        <v>172</v>
      </c>
      <c r="J225">
        <v>152</v>
      </c>
      <c r="K225">
        <v>769</v>
      </c>
      <c r="L225" s="2">
        <v>3.0324074074074073E-3</v>
      </c>
      <c r="M225" s="2">
        <v>1.636574074074074E-2</v>
      </c>
      <c r="N225" s="2">
        <v>3.3564814814814818E-2</v>
      </c>
      <c r="O225" s="2">
        <v>0</v>
      </c>
      <c r="P225" s="2">
        <v>0</v>
      </c>
    </row>
    <row r="226" spans="1:16" x14ac:dyDescent="0.3">
      <c r="A226" s="1">
        <v>44163.857164351852</v>
      </c>
      <c r="B226" s="1">
        <v>44163.935902777775</v>
      </c>
      <c r="C226">
        <v>111.51</v>
      </c>
      <c r="D226" s="2">
        <v>7.7430555555555558E-2</v>
      </c>
      <c r="E226">
        <v>22.564</v>
      </c>
      <c r="F226" s="2">
        <v>3.425925925925926E-3</v>
      </c>
      <c r="G226">
        <v>12.14</v>
      </c>
      <c r="H226">
        <v>15.18</v>
      </c>
      <c r="I226">
        <v>183</v>
      </c>
      <c r="J226">
        <v>155</v>
      </c>
      <c r="K226">
        <v>1638</v>
      </c>
      <c r="L226" s="2">
        <v>3.1365740740740742E-3</v>
      </c>
      <c r="M226" s="2">
        <v>1.6377314814814813E-2</v>
      </c>
      <c r="N226" s="2">
        <v>3.3136574074074075E-2</v>
      </c>
      <c r="O226" s="2">
        <v>7.2303240740740737E-2</v>
      </c>
      <c r="P226" s="2">
        <v>0</v>
      </c>
    </row>
    <row r="227" spans="1:16" x14ac:dyDescent="0.3">
      <c r="A227" s="1">
        <v>44166.98704861111</v>
      </c>
      <c r="B227" s="1">
        <v>44167.022974537038</v>
      </c>
      <c r="C227">
        <v>51.43</v>
      </c>
      <c r="D227" s="2">
        <v>3.5706018518518519E-2</v>
      </c>
      <c r="E227">
        <v>10.163</v>
      </c>
      <c r="F227" s="2">
        <v>3.5069444444444445E-3</v>
      </c>
      <c r="G227">
        <v>11.86</v>
      </c>
      <c r="H227">
        <v>14.74</v>
      </c>
      <c r="I227">
        <v>170</v>
      </c>
      <c r="J227">
        <v>154</v>
      </c>
      <c r="K227">
        <v>747</v>
      </c>
      <c r="L227" s="2">
        <v>3.2754629629629631E-3</v>
      </c>
      <c r="M227" s="2">
        <v>1.7152777777777777E-2</v>
      </c>
      <c r="N227" s="2">
        <v>3.5034722222222224E-2</v>
      </c>
      <c r="O227" s="2">
        <v>0</v>
      </c>
      <c r="P227" s="2">
        <v>0</v>
      </c>
    </row>
    <row r="228" spans="1:16" x14ac:dyDescent="0.3">
      <c r="A228" s="1">
        <v>44170.968414351853</v>
      </c>
      <c r="B228" s="1">
        <v>44171.010185185187</v>
      </c>
      <c r="C228">
        <v>60.15</v>
      </c>
      <c r="D228" s="2">
        <v>4.1759259259259253E-2</v>
      </c>
      <c r="E228">
        <v>12.188000000000001</v>
      </c>
      <c r="F228" s="2">
        <v>3.425925925925926E-3</v>
      </c>
      <c r="G228">
        <v>12.16</v>
      </c>
      <c r="H228">
        <v>14.72</v>
      </c>
      <c r="I228">
        <v>168</v>
      </c>
      <c r="J228">
        <v>148</v>
      </c>
      <c r="K228">
        <v>886</v>
      </c>
      <c r="L228" s="2">
        <v>3.1249999999999997E-3</v>
      </c>
      <c r="M228" s="2">
        <v>1.6770833333333332E-2</v>
      </c>
      <c r="N228" s="2">
        <v>3.3912037037037039E-2</v>
      </c>
      <c r="O228" s="2">
        <v>0</v>
      </c>
      <c r="P228" s="2">
        <v>0</v>
      </c>
    </row>
    <row r="229" spans="1:16" x14ac:dyDescent="0.3">
      <c r="A229" s="1">
        <v>44176.004930555559</v>
      </c>
      <c r="B229" s="1">
        <v>44176.046620370369</v>
      </c>
      <c r="C229">
        <v>60.03</v>
      </c>
      <c r="D229" s="2">
        <v>4.1678240740740745E-2</v>
      </c>
      <c r="E229">
        <v>12.378</v>
      </c>
      <c r="F229" s="2">
        <v>3.3680555555555551E-3</v>
      </c>
      <c r="G229">
        <v>12.37</v>
      </c>
      <c r="H229">
        <v>18.88</v>
      </c>
      <c r="I229">
        <v>172</v>
      </c>
      <c r="J229">
        <v>163</v>
      </c>
      <c r="K229">
        <v>856</v>
      </c>
      <c r="L229" s="2">
        <v>3.2060185185185191E-3</v>
      </c>
      <c r="M229" s="2">
        <v>1.6458333333333332E-2</v>
      </c>
      <c r="N229" s="2">
        <v>3.3449074074074069E-2</v>
      </c>
      <c r="O229" s="2">
        <v>0</v>
      </c>
      <c r="P229" s="2">
        <v>0</v>
      </c>
    </row>
    <row r="230" spans="1:16" x14ac:dyDescent="0.3">
      <c r="A230" s="1">
        <v>44177.882951388892</v>
      </c>
      <c r="B230" s="1">
        <v>44177.924131944441</v>
      </c>
      <c r="C230">
        <v>59.3</v>
      </c>
      <c r="D230" s="2">
        <v>4.116898148148148E-2</v>
      </c>
      <c r="E230">
        <v>12.019</v>
      </c>
      <c r="F230" s="2">
        <v>3.425925925925926E-3</v>
      </c>
      <c r="G230">
        <v>12.16</v>
      </c>
      <c r="H230">
        <v>17.21</v>
      </c>
      <c r="I230">
        <v>171</v>
      </c>
      <c r="J230">
        <v>156</v>
      </c>
      <c r="K230">
        <v>863</v>
      </c>
      <c r="L230" s="2">
        <v>2.9629629629629628E-3</v>
      </c>
      <c r="M230" s="2">
        <v>1.6747685185185185E-2</v>
      </c>
      <c r="N230" s="2">
        <v>3.4155092592592591E-2</v>
      </c>
      <c r="O230" s="2">
        <v>0</v>
      </c>
      <c r="P230" s="2">
        <v>0</v>
      </c>
    </row>
    <row r="231" spans="1:16" x14ac:dyDescent="0.3">
      <c r="A231" s="1">
        <v>44183.019907407404</v>
      </c>
      <c r="B231" s="1">
        <v>44183.055891203701</v>
      </c>
      <c r="C231">
        <v>51.82</v>
      </c>
      <c r="D231" s="2">
        <v>3.5972222222222218E-2</v>
      </c>
      <c r="E231">
        <v>10.494999999999999</v>
      </c>
      <c r="F231" s="2">
        <v>3.425925925925926E-3</v>
      </c>
      <c r="G231">
        <v>12.15</v>
      </c>
      <c r="H231">
        <v>14.6</v>
      </c>
      <c r="I231">
        <v>174</v>
      </c>
      <c r="J231">
        <v>158</v>
      </c>
      <c r="K231">
        <v>769</v>
      </c>
      <c r="L231" s="2">
        <v>3.2175925925925926E-3</v>
      </c>
      <c r="M231" s="2">
        <v>1.6597222222222222E-2</v>
      </c>
      <c r="N231" s="2">
        <v>3.4050925925925922E-2</v>
      </c>
      <c r="O231" s="2">
        <v>0</v>
      </c>
      <c r="P231" s="2">
        <v>0</v>
      </c>
    </row>
    <row r="232" spans="1:16" x14ac:dyDescent="0.3">
      <c r="A232" s="1">
        <v>44184.961400462962</v>
      </c>
      <c r="B232" s="1">
        <v>44185.015868055554</v>
      </c>
      <c r="C232">
        <v>78.430000000000007</v>
      </c>
      <c r="D232" s="2">
        <v>5.4467592592592595E-2</v>
      </c>
      <c r="E232">
        <v>16.077000000000002</v>
      </c>
      <c r="F232" s="2">
        <v>3.37962962962963E-3</v>
      </c>
      <c r="G232">
        <v>12.3</v>
      </c>
      <c r="H232">
        <v>16.010000000000002</v>
      </c>
      <c r="I232">
        <v>175</v>
      </c>
      <c r="J232">
        <v>160</v>
      </c>
      <c r="K232">
        <v>1165</v>
      </c>
      <c r="L232" s="2">
        <v>3.0671296296296297E-3</v>
      </c>
      <c r="M232" s="2">
        <v>1.621527777777778E-2</v>
      </c>
      <c r="N232" s="2">
        <v>3.2974537037037038E-2</v>
      </c>
      <c r="O232" s="2">
        <v>0</v>
      </c>
      <c r="P232" s="2">
        <v>0</v>
      </c>
    </row>
    <row r="233" spans="1:16" x14ac:dyDescent="0.3">
      <c r="A233" s="1">
        <v>44188.858854166669</v>
      </c>
      <c r="B233" s="1">
        <v>44188.895752314813</v>
      </c>
      <c r="C233">
        <v>53.13</v>
      </c>
      <c r="D233" s="2">
        <v>3.6886574074074079E-2</v>
      </c>
      <c r="E233">
        <v>10.131</v>
      </c>
      <c r="F233" s="2">
        <v>3.6342592592592594E-3</v>
      </c>
      <c r="G233">
        <v>11.44</v>
      </c>
      <c r="H233">
        <v>13.97</v>
      </c>
      <c r="I233">
        <v>166</v>
      </c>
      <c r="J233">
        <v>156</v>
      </c>
      <c r="K233">
        <v>779</v>
      </c>
      <c r="L233" s="2">
        <v>3.414351851851852E-3</v>
      </c>
      <c r="M233" s="2">
        <v>1.7569444444444447E-2</v>
      </c>
      <c r="N233" s="2">
        <v>3.6215277777777777E-2</v>
      </c>
      <c r="O233" s="2">
        <v>0</v>
      </c>
      <c r="P233" s="2">
        <v>0</v>
      </c>
    </row>
    <row r="234" spans="1:16" x14ac:dyDescent="0.3">
      <c r="A234" s="1">
        <v>44190.035046296296</v>
      </c>
      <c r="B234" s="1">
        <v>44190.069282407407</v>
      </c>
      <c r="C234">
        <v>49.3</v>
      </c>
      <c r="D234" s="2">
        <v>3.4224537037037032E-2</v>
      </c>
      <c r="E234">
        <v>10.260999999999999</v>
      </c>
      <c r="F234" s="2">
        <v>3.3333333333333335E-3</v>
      </c>
      <c r="G234">
        <v>12.49</v>
      </c>
      <c r="H234">
        <v>14.9</v>
      </c>
      <c r="I234">
        <v>175</v>
      </c>
      <c r="J234">
        <v>162</v>
      </c>
      <c r="K234">
        <v>727</v>
      </c>
      <c r="L234" s="2">
        <v>3.1134259259259257E-3</v>
      </c>
      <c r="M234" s="2">
        <v>1.6145833333333335E-2</v>
      </c>
      <c r="N234" s="2">
        <v>3.3240740740740744E-2</v>
      </c>
      <c r="O234" s="2">
        <v>0</v>
      </c>
      <c r="P234" s="2">
        <v>0</v>
      </c>
    </row>
    <row r="235" spans="1:16" x14ac:dyDescent="0.3">
      <c r="A235" s="1">
        <v>44191.923229166663</v>
      </c>
      <c r="B235" s="1">
        <v>44191.960219907407</v>
      </c>
      <c r="C235">
        <v>53.27</v>
      </c>
      <c r="D235" s="2">
        <v>3.6979166666666667E-2</v>
      </c>
      <c r="E235">
        <v>11.025</v>
      </c>
      <c r="F235" s="2">
        <v>3.3449074074074071E-3</v>
      </c>
      <c r="G235">
        <v>12.42</v>
      </c>
      <c r="H235">
        <v>15.63</v>
      </c>
      <c r="I235">
        <v>170</v>
      </c>
      <c r="J235">
        <v>153</v>
      </c>
      <c r="K235">
        <v>805</v>
      </c>
      <c r="L235" s="2">
        <v>2.8703703703703708E-3</v>
      </c>
      <c r="M235" s="2">
        <v>1.5821759259259261E-2</v>
      </c>
      <c r="N235" s="2">
        <v>3.3148148148148149E-2</v>
      </c>
      <c r="O235" s="2">
        <v>0</v>
      </c>
      <c r="P235" s="2">
        <v>0</v>
      </c>
    </row>
    <row r="236" spans="1:16" x14ac:dyDescent="0.3">
      <c r="A236" s="1">
        <v>44195.981909722221</v>
      </c>
      <c r="B236" s="1">
        <v>44196.016655092593</v>
      </c>
      <c r="C236">
        <v>50.03</v>
      </c>
      <c r="D236" s="2">
        <v>3.4733796296296297E-2</v>
      </c>
      <c r="E236">
        <v>10.202999999999999</v>
      </c>
      <c r="F236" s="2">
        <v>3.4027777777777784E-3</v>
      </c>
      <c r="G236">
        <v>12.24</v>
      </c>
      <c r="H236">
        <v>15.83</v>
      </c>
      <c r="I236">
        <v>172</v>
      </c>
      <c r="J236">
        <v>164</v>
      </c>
      <c r="K236">
        <v>736</v>
      </c>
      <c r="L236" s="2">
        <v>3.0671296296296297E-3</v>
      </c>
      <c r="M236" s="2">
        <v>1.6701388888888887E-2</v>
      </c>
      <c r="N236" s="2">
        <v>3.3923611111111113E-2</v>
      </c>
      <c r="O236" s="2">
        <v>0</v>
      </c>
      <c r="P236" s="2">
        <v>0</v>
      </c>
    </row>
    <row r="237" spans="1:16" x14ac:dyDescent="0.3">
      <c r="A237" s="1">
        <v>44197.252013888887</v>
      </c>
      <c r="B237" s="1">
        <v>44197.341782407406</v>
      </c>
      <c r="C237">
        <v>129.15</v>
      </c>
      <c r="D237" s="2">
        <v>8.9675925925925923E-2</v>
      </c>
      <c r="E237">
        <v>22.004999999999999</v>
      </c>
      <c r="F237" s="2">
        <v>4.0740740740740746E-3</v>
      </c>
      <c r="G237">
        <v>10.220000000000001</v>
      </c>
      <c r="H237">
        <v>16.04</v>
      </c>
      <c r="I237">
        <v>175</v>
      </c>
      <c r="J237">
        <v>152</v>
      </c>
      <c r="K237">
        <v>1742</v>
      </c>
      <c r="L237" s="2">
        <v>3.5416666666666665E-3</v>
      </c>
      <c r="M237" s="2">
        <v>1.9432870370370371E-2</v>
      </c>
      <c r="N237" s="2">
        <v>3.9502314814814816E-2</v>
      </c>
      <c r="O237" s="2">
        <v>8.5671296296296287E-2</v>
      </c>
      <c r="P237" s="2">
        <v>0</v>
      </c>
    </row>
    <row r="238" spans="1:16" x14ac:dyDescent="0.3">
      <c r="A238" s="1">
        <v>44198.911307870374</v>
      </c>
      <c r="B238" s="1">
        <v>44198.943379629629</v>
      </c>
      <c r="C238">
        <v>46.18</v>
      </c>
      <c r="D238" s="2">
        <v>3.2060185185185185E-2</v>
      </c>
      <c r="E238">
        <v>8.2509999999999994</v>
      </c>
      <c r="F238" s="2">
        <v>3.8773148148148143E-3</v>
      </c>
      <c r="G238">
        <v>10.72</v>
      </c>
      <c r="H238">
        <v>15.29</v>
      </c>
      <c r="I238">
        <v>157</v>
      </c>
      <c r="J238">
        <v>145</v>
      </c>
      <c r="K238">
        <v>625</v>
      </c>
      <c r="L238" s="2">
        <v>3.6226851851851854E-3</v>
      </c>
      <c r="M238" s="2">
        <v>1.923611111111111E-2</v>
      </c>
      <c r="N238" s="2">
        <v>0</v>
      </c>
      <c r="O238" s="2">
        <v>0</v>
      </c>
      <c r="P238" s="2">
        <v>0</v>
      </c>
    </row>
    <row r="239" spans="1:16" x14ac:dyDescent="0.3">
      <c r="A239" s="1">
        <v>44201.987361111111</v>
      </c>
      <c r="B239" s="1">
        <v>44202.029143518521</v>
      </c>
      <c r="C239">
        <v>60.17</v>
      </c>
      <c r="D239" s="2">
        <v>4.1770833333333333E-2</v>
      </c>
      <c r="E239">
        <v>12.324999999999999</v>
      </c>
      <c r="F239" s="2">
        <v>3.37962962962963E-3</v>
      </c>
      <c r="G239">
        <v>12.29</v>
      </c>
      <c r="H239">
        <v>15.38</v>
      </c>
      <c r="I239">
        <v>174</v>
      </c>
      <c r="J239">
        <v>160</v>
      </c>
      <c r="K239">
        <v>895</v>
      </c>
      <c r="L239" s="2">
        <v>3.1481481481481482E-3</v>
      </c>
      <c r="M239" s="2">
        <v>1.6319444444444445E-2</v>
      </c>
      <c r="N239" s="2">
        <v>3.3587962962962965E-2</v>
      </c>
      <c r="O239" s="2">
        <v>0</v>
      </c>
      <c r="P239" s="2">
        <v>0</v>
      </c>
    </row>
    <row r="240" spans="1:16" x14ac:dyDescent="0.3">
      <c r="A240" s="1">
        <v>44203.962025462963</v>
      </c>
      <c r="B240" s="1">
        <v>44204.036678240744</v>
      </c>
      <c r="C240">
        <v>107.5</v>
      </c>
      <c r="D240" s="2">
        <v>7.464120370370371E-2</v>
      </c>
      <c r="E240">
        <v>21.111999999999998</v>
      </c>
      <c r="F240" s="2">
        <v>3.530092592592592E-3</v>
      </c>
      <c r="G240">
        <v>11.78</v>
      </c>
      <c r="H240">
        <v>16.14</v>
      </c>
      <c r="I240">
        <v>180</v>
      </c>
      <c r="J240">
        <v>168</v>
      </c>
      <c r="K240">
        <v>1559</v>
      </c>
      <c r="L240" s="2">
        <v>3.3449074074074071E-3</v>
      </c>
      <c r="M240" s="2">
        <v>1.7199074074074071E-2</v>
      </c>
      <c r="N240" s="2">
        <v>3.4525462962962966E-2</v>
      </c>
      <c r="O240" s="2">
        <v>7.4537037037037041E-2</v>
      </c>
      <c r="P240" s="2">
        <v>0</v>
      </c>
    </row>
    <row r="241" spans="1:16" x14ac:dyDescent="0.3">
      <c r="A241" s="1">
        <v>44205.944652777776</v>
      </c>
      <c r="B241" s="1">
        <v>44205.994317129633</v>
      </c>
      <c r="C241">
        <v>71.52</v>
      </c>
      <c r="D241" s="2">
        <v>4.9652777777777775E-2</v>
      </c>
      <c r="E241">
        <v>15.265000000000001</v>
      </c>
      <c r="F241" s="2">
        <v>3.2523148148148151E-3</v>
      </c>
      <c r="G241">
        <v>12.81</v>
      </c>
      <c r="H241">
        <v>16.510000000000002</v>
      </c>
      <c r="I241">
        <v>180</v>
      </c>
      <c r="J241">
        <v>163</v>
      </c>
      <c r="K241">
        <v>1072</v>
      </c>
      <c r="L241" s="2">
        <v>2.9861111111111113E-3</v>
      </c>
      <c r="M241" s="2">
        <v>1.5891203703703703E-2</v>
      </c>
      <c r="N241" s="2">
        <v>3.2048611111111111E-2</v>
      </c>
      <c r="O241" s="2">
        <v>0</v>
      </c>
      <c r="P241" s="2">
        <v>0</v>
      </c>
    </row>
    <row r="242" spans="1:16" x14ac:dyDescent="0.3">
      <c r="A242" s="1">
        <v>44208.950486111113</v>
      </c>
      <c r="B242" s="1">
        <v>44208.986030092594</v>
      </c>
      <c r="C242">
        <v>51.18</v>
      </c>
      <c r="D242" s="2">
        <v>3.5532407407407408E-2</v>
      </c>
      <c r="E242">
        <v>10.342000000000001</v>
      </c>
      <c r="F242" s="2">
        <v>3.425925925925926E-3</v>
      </c>
      <c r="G242">
        <v>12.12</v>
      </c>
      <c r="H242">
        <v>15.23</v>
      </c>
      <c r="I242">
        <v>180</v>
      </c>
      <c r="J242">
        <v>159</v>
      </c>
      <c r="K242">
        <v>750</v>
      </c>
      <c r="L242" s="2">
        <v>3.1481481481481482E-3</v>
      </c>
      <c r="M242" s="2">
        <v>1.6620370370370372E-2</v>
      </c>
      <c r="N242" s="2">
        <v>3.4027777777777775E-2</v>
      </c>
      <c r="O242" s="2">
        <v>0</v>
      </c>
      <c r="P242" s="2">
        <v>0</v>
      </c>
    </row>
    <row r="243" spans="1:16" x14ac:dyDescent="0.3">
      <c r="A243" s="1">
        <v>44212.858206018522</v>
      </c>
      <c r="B243" s="1">
        <v>44212.911226851851</v>
      </c>
      <c r="C243">
        <v>76.349999999999994</v>
      </c>
      <c r="D243" s="2">
        <v>5.3009259259259256E-2</v>
      </c>
      <c r="E243">
        <v>15.282999999999999</v>
      </c>
      <c r="F243" s="2">
        <v>3.4606481481481485E-3</v>
      </c>
      <c r="G243">
        <v>12.01</v>
      </c>
      <c r="H243">
        <v>15.67</v>
      </c>
      <c r="I243">
        <v>182</v>
      </c>
      <c r="J243">
        <v>160</v>
      </c>
      <c r="K243">
        <v>1119</v>
      </c>
      <c r="L243" s="2">
        <v>3.1712962962962958E-3</v>
      </c>
      <c r="M243" s="2">
        <v>1.6736111111111111E-2</v>
      </c>
      <c r="N243" s="2">
        <v>3.4131944444444444E-2</v>
      </c>
      <c r="O243" s="2">
        <v>0</v>
      </c>
      <c r="P243" s="2">
        <v>0</v>
      </c>
    </row>
    <row r="244" spans="1:16" x14ac:dyDescent="0.3">
      <c r="A244" s="1">
        <v>44218.005104166667</v>
      </c>
      <c r="B244" s="1">
        <v>44218.042164351849</v>
      </c>
      <c r="C244">
        <v>53.37</v>
      </c>
      <c r="D244" s="2">
        <v>3.7060185185185189E-2</v>
      </c>
      <c r="E244">
        <v>10.505000000000001</v>
      </c>
      <c r="F244" s="2">
        <v>3.5185185185185185E-3</v>
      </c>
      <c r="G244">
        <v>11.81</v>
      </c>
      <c r="H244">
        <v>14.55</v>
      </c>
      <c r="I244">
        <v>171</v>
      </c>
      <c r="J244">
        <v>155</v>
      </c>
      <c r="K244">
        <v>777</v>
      </c>
      <c r="L244" s="2">
        <v>3.2060185185185191E-3</v>
      </c>
      <c r="M244" s="2">
        <v>1.6759259259259258E-2</v>
      </c>
      <c r="N244" s="2">
        <v>3.5115740740740746E-2</v>
      </c>
      <c r="O244" s="2">
        <v>0</v>
      </c>
      <c r="P244" s="2">
        <v>0</v>
      </c>
    </row>
    <row r="245" spans="1:16" x14ac:dyDescent="0.3">
      <c r="A245" s="1">
        <v>44219.861504629633</v>
      </c>
      <c r="B245" s="1">
        <v>44219.896597222221</v>
      </c>
      <c r="C245">
        <v>50.53</v>
      </c>
      <c r="D245" s="2">
        <v>3.5081018518518518E-2</v>
      </c>
      <c r="E245">
        <v>10.097</v>
      </c>
      <c r="F245" s="2">
        <v>3.472222222222222E-3</v>
      </c>
      <c r="G245">
        <v>11.99</v>
      </c>
      <c r="H245">
        <v>15.18</v>
      </c>
      <c r="I245">
        <v>180</v>
      </c>
      <c r="J245">
        <v>168</v>
      </c>
      <c r="K245">
        <v>754</v>
      </c>
      <c r="L245" s="2">
        <v>3.1134259259259257E-3</v>
      </c>
      <c r="M245" s="2">
        <v>1.6574074074074074E-2</v>
      </c>
      <c r="N245" s="2">
        <v>3.4675925925925923E-2</v>
      </c>
      <c r="O245" s="2">
        <v>0</v>
      </c>
      <c r="P245" s="2">
        <v>0</v>
      </c>
    </row>
    <row r="246" spans="1:16" x14ac:dyDescent="0.3">
      <c r="A246" s="1">
        <v>44222.966956018521</v>
      </c>
      <c r="B246" s="1">
        <v>44223.012731481482</v>
      </c>
      <c r="C246">
        <v>65.92</v>
      </c>
      <c r="D246" s="2">
        <v>4.5763888888888889E-2</v>
      </c>
      <c r="E246">
        <v>15.202999999999999</v>
      </c>
      <c r="F246" s="2">
        <v>3.0092592592592588E-3</v>
      </c>
      <c r="G246">
        <v>13.84</v>
      </c>
      <c r="H246">
        <v>16.28</v>
      </c>
      <c r="I246">
        <v>180</v>
      </c>
      <c r="J246">
        <v>167</v>
      </c>
      <c r="K246">
        <v>1010</v>
      </c>
      <c r="L246" s="2">
        <v>2.7546296296296294E-3</v>
      </c>
      <c r="M246" s="2">
        <v>1.4594907407407405E-2</v>
      </c>
      <c r="N246" s="2">
        <v>2.9398148148148149E-2</v>
      </c>
      <c r="O246" s="2">
        <v>0</v>
      </c>
      <c r="P246" s="2">
        <v>0</v>
      </c>
    </row>
    <row r="247" spans="1:16" x14ac:dyDescent="0.3">
      <c r="A247" s="1">
        <v>44226.951388888891</v>
      </c>
      <c r="B247" s="1">
        <v>44227.005428240744</v>
      </c>
      <c r="C247">
        <v>77.819999999999993</v>
      </c>
      <c r="D247" s="2">
        <v>5.4027777777777779E-2</v>
      </c>
      <c r="E247">
        <v>16.126999999999999</v>
      </c>
      <c r="F247" s="2">
        <v>3.3449074074074071E-3</v>
      </c>
      <c r="G247">
        <v>12.43</v>
      </c>
      <c r="H247">
        <v>15.48</v>
      </c>
      <c r="I247">
        <v>178</v>
      </c>
      <c r="J247">
        <v>155</v>
      </c>
      <c r="K247">
        <v>1161</v>
      </c>
      <c r="L247" s="2">
        <v>3.0902777777777782E-3</v>
      </c>
      <c r="M247" s="2">
        <v>1.5949074074074074E-2</v>
      </c>
      <c r="N247" s="2">
        <v>3.2407407407407406E-2</v>
      </c>
      <c r="O247" s="2">
        <v>0</v>
      </c>
      <c r="P247" s="2">
        <v>0</v>
      </c>
    </row>
    <row r="248" spans="1:16" x14ac:dyDescent="0.3">
      <c r="A248" s="1">
        <v>44229.825983796298</v>
      </c>
      <c r="B248" s="1">
        <v>44229.866226851853</v>
      </c>
      <c r="C248">
        <v>57.95</v>
      </c>
      <c r="D248" s="2">
        <v>4.024305555555556E-2</v>
      </c>
      <c r="E248">
        <v>11.076000000000001</v>
      </c>
      <c r="F248" s="2">
        <v>3.6226851851851854E-3</v>
      </c>
      <c r="G248">
        <v>11.47</v>
      </c>
      <c r="H248">
        <v>15.79</v>
      </c>
      <c r="I248">
        <v>173</v>
      </c>
      <c r="J248">
        <v>155</v>
      </c>
      <c r="K248">
        <v>836</v>
      </c>
      <c r="L248" s="2">
        <v>3.2754629629629631E-3</v>
      </c>
      <c r="M248" s="2">
        <v>1.7523148148148149E-2</v>
      </c>
      <c r="N248" s="2">
        <v>3.5914351851851857E-2</v>
      </c>
      <c r="O248" s="2">
        <v>0</v>
      </c>
      <c r="P248" s="2">
        <v>0</v>
      </c>
    </row>
    <row r="249" spans="1:16" x14ac:dyDescent="0.3">
      <c r="A249" s="1">
        <v>44233.95040509259</v>
      </c>
      <c r="B249" s="1">
        <v>44234.000289351854</v>
      </c>
      <c r="C249">
        <v>71.83</v>
      </c>
      <c r="D249" s="2">
        <v>4.987268518518518E-2</v>
      </c>
      <c r="E249">
        <v>14.215999999999999</v>
      </c>
      <c r="F249" s="2">
        <v>3.5069444444444445E-3</v>
      </c>
      <c r="G249">
        <v>11.87</v>
      </c>
      <c r="H249">
        <v>20.95</v>
      </c>
      <c r="I249">
        <v>169</v>
      </c>
      <c r="J249">
        <v>143</v>
      </c>
      <c r="K249">
        <v>1057</v>
      </c>
      <c r="L249" s="2">
        <v>3.2986111111111111E-3</v>
      </c>
      <c r="M249" s="2">
        <v>1.6875000000000001E-2</v>
      </c>
      <c r="N249" s="2">
        <v>3.4293981481481481E-2</v>
      </c>
      <c r="O249" s="2">
        <v>0</v>
      </c>
      <c r="P249" s="2">
        <v>0</v>
      </c>
    </row>
    <row r="250" spans="1:16" x14ac:dyDescent="0.3">
      <c r="A250" s="1">
        <v>44236.858425925922</v>
      </c>
      <c r="B250" s="1">
        <v>44236.894907407404</v>
      </c>
      <c r="C250">
        <v>52.53</v>
      </c>
      <c r="D250" s="2">
        <v>3.6469907407407402E-2</v>
      </c>
      <c r="E250">
        <v>10.052</v>
      </c>
      <c r="F250" s="2">
        <v>3.6226851851851854E-3</v>
      </c>
      <c r="G250">
        <v>11.48</v>
      </c>
      <c r="H250">
        <v>17.3</v>
      </c>
      <c r="I250">
        <v>171</v>
      </c>
      <c r="J250">
        <v>154</v>
      </c>
      <c r="K250">
        <v>724</v>
      </c>
      <c r="L250" s="2">
        <v>3.4606481481481485E-3</v>
      </c>
      <c r="M250" s="2">
        <v>1.7789351851851851E-2</v>
      </c>
      <c r="N250" s="2">
        <v>3.6249999999999998E-2</v>
      </c>
      <c r="O250" s="2">
        <v>0</v>
      </c>
      <c r="P250" s="2">
        <v>0</v>
      </c>
    </row>
    <row r="251" spans="1:16" x14ac:dyDescent="0.3">
      <c r="A251" s="1">
        <v>44238.987800925926</v>
      </c>
      <c r="B251" s="1">
        <v>44239.038807870369</v>
      </c>
      <c r="C251">
        <v>73.45</v>
      </c>
      <c r="D251" s="2">
        <v>5.1006944444444445E-2</v>
      </c>
      <c r="E251">
        <v>15.395</v>
      </c>
      <c r="F251" s="2">
        <v>3.3101851851851851E-3</v>
      </c>
      <c r="G251">
        <v>12.58</v>
      </c>
      <c r="H251">
        <v>15.53</v>
      </c>
      <c r="I251">
        <v>180</v>
      </c>
      <c r="J251">
        <v>171</v>
      </c>
      <c r="K251">
        <v>1093</v>
      </c>
      <c r="L251" s="2">
        <v>3.0439814814814821E-3</v>
      </c>
      <c r="M251" s="2">
        <v>1.6099537037037037E-2</v>
      </c>
      <c r="N251" s="2">
        <v>3.2442129629629633E-2</v>
      </c>
      <c r="O251" s="2">
        <v>0</v>
      </c>
      <c r="P251" s="2">
        <v>0</v>
      </c>
    </row>
    <row r="252" spans="1:16" x14ac:dyDescent="0.3">
      <c r="A252" s="1">
        <v>44241.014039351852</v>
      </c>
      <c r="B252" s="1">
        <v>44241.055810185186</v>
      </c>
      <c r="C252">
        <v>60.15</v>
      </c>
      <c r="D252" s="2">
        <v>4.1759259259259253E-2</v>
      </c>
      <c r="E252">
        <v>11.56</v>
      </c>
      <c r="F252" s="2">
        <v>3.6111111111111114E-3</v>
      </c>
      <c r="G252">
        <v>11.53</v>
      </c>
      <c r="H252">
        <v>15.39</v>
      </c>
      <c r="I252">
        <v>187</v>
      </c>
      <c r="J252">
        <v>164</v>
      </c>
      <c r="K252">
        <v>879</v>
      </c>
      <c r="L252" s="2">
        <v>3.4490740740740745E-3</v>
      </c>
      <c r="M252" s="2">
        <v>1.7789351851851851E-2</v>
      </c>
      <c r="N252" s="2">
        <v>3.5972222222222218E-2</v>
      </c>
      <c r="O252" s="2">
        <v>0</v>
      </c>
      <c r="P252" s="2">
        <v>0</v>
      </c>
    </row>
    <row r="253" spans="1:16" x14ac:dyDescent="0.3">
      <c r="A253" s="1">
        <v>44247.880532407406</v>
      </c>
      <c r="B253" s="1">
        <v>44247.952546296299</v>
      </c>
      <c r="C253">
        <v>103.7</v>
      </c>
      <c r="D253" s="2">
        <v>7.2002314814814811E-2</v>
      </c>
      <c r="E253">
        <v>21.16</v>
      </c>
      <c r="F253" s="2">
        <v>3.4027777777777784E-3</v>
      </c>
      <c r="G253">
        <v>12.24</v>
      </c>
      <c r="H253">
        <v>15.92</v>
      </c>
      <c r="I253">
        <v>164</v>
      </c>
      <c r="J253">
        <v>151</v>
      </c>
      <c r="K253">
        <v>1522</v>
      </c>
      <c r="L253" s="2">
        <v>3.1944444444444442E-3</v>
      </c>
      <c r="M253" s="2">
        <v>1.6574074074074074E-2</v>
      </c>
      <c r="N253" s="2">
        <v>3.3530092592592591E-2</v>
      </c>
      <c r="O253" s="2">
        <v>7.1793981481481486E-2</v>
      </c>
      <c r="P253" s="2">
        <v>0</v>
      </c>
    </row>
    <row r="254" spans="1:16" x14ac:dyDescent="0.3">
      <c r="A254" s="1">
        <v>44251.971076388887</v>
      </c>
      <c r="B254" s="1">
        <v>44252.00986111111</v>
      </c>
      <c r="C254">
        <v>55.85</v>
      </c>
      <c r="D254" s="2">
        <v>3.8773148148148147E-2</v>
      </c>
      <c r="E254">
        <v>12.308999999999999</v>
      </c>
      <c r="F254" s="2">
        <v>3.1481481481481482E-3</v>
      </c>
      <c r="G254">
        <v>13.22</v>
      </c>
      <c r="H254">
        <v>17.48</v>
      </c>
      <c r="I254">
        <v>181</v>
      </c>
      <c r="J254">
        <v>170</v>
      </c>
      <c r="K254">
        <v>818</v>
      </c>
      <c r="L254" s="2">
        <v>2.9398148148148148E-3</v>
      </c>
      <c r="M254" s="2">
        <v>1.5046296296296295E-2</v>
      </c>
      <c r="N254" s="2">
        <v>3.0972222222222224E-2</v>
      </c>
      <c r="O254" s="2">
        <v>0</v>
      </c>
      <c r="P254" s="2">
        <v>0</v>
      </c>
    </row>
    <row r="255" spans="1:16" x14ac:dyDescent="0.3">
      <c r="A255" s="1">
        <v>44255.928472222222</v>
      </c>
      <c r="B255" s="1">
        <v>44255.965856481482</v>
      </c>
      <c r="C255">
        <v>53.83</v>
      </c>
      <c r="D255" s="2">
        <v>3.7384259259259263E-2</v>
      </c>
      <c r="E255">
        <v>12.337</v>
      </c>
      <c r="F255" s="2">
        <v>3.0208333333333333E-3</v>
      </c>
      <c r="G255">
        <v>13.75</v>
      </c>
      <c r="H255">
        <v>16.079999999999998</v>
      </c>
      <c r="I255">
        <v>186</v>
      </c>
      <c r="J255">
        <v>172</v>
      </c>
      <c r="K255">
        <v>820</v>
      </c>
      <c r="L255" s="2">
        <v>2.7777777777777779E-3</v>
      </c>
      <c r="M255" s="2">
        <v>1.4606481481481482E-2</v>
      </c>
      <c r="N255" s="2">
        <v>2.9791666666666664E-2</v>
      </c>
      <c r="O255" s="2">
        <v>0</v>
      </c>
      <c r="P255" s="2">
        <v>0</v>
      </c>
    </row>
    <row r="256" spans="1:16" x14ac:dyDescent="0.3">
      <c r="A256" s="1">
        <v>44258.838009259256</v>
      </c>
      <c r="B256" s="1">
        <v>44258.87327546296</v>
      </c>
      <c r="C256">
        <v>50.78</v>
      </c>
      <c r="D256" s="2">
        <v>3.5254629629629629E-2</v>
      </c>
      <c r="E256">
        <v>10.615</v>
      </c>
      <c r="F256" s="2">
        <v>3.3217592592592591E-3</v>
      </c>
      <c r="G256">
        <v>12.54</v>
      </c>
      <c r="H256">
        <v>15.52</v>
      </c>
      <c r="I256">
        <v>176</v>
      </c>
      <c r="J256">
        <v>162</v>
      </c>
      <c r="K256">
        <v>765</v>
      </c>
      <c r="L256" s="2">
        <v>2.8935185185185188E-3</v>
      </c>
      <c r="M256" s="2">
        <v>1.5879629629629629E-2</v>
      </c>
      <c r="N256" s="2">
        <v>3.3043981481481487E-2</v>
      </c>
      <c r="O256" s="2">
        <v>0</v>
      </c>
      <c r="P256" s="2">
        <v>0</v>
      </c>
    </row>
    <row r="257" spans="1:16" x14ac:dyDescent="0.3">
      <c r="A257" s="1">
        <v>44259.991331018522</v>
      </c>
      <c r="B257" s="1">
        <v>44260.002523148149</v>
      </c>
      <c r="C257">
        <v>16.12</v>
      </c>
      <c r="D257" s="2">
        <v>1.1180555555555556E-2</v>
      </c>
      <c r="E257">
        <v>3.194</v>
      </c>
      <c r="F257" s="2">
        <v>3.4953703703703705E-3</v>
      </c>
      <c r="G257">
        <v>11.89</v>
      </c>
      <c r="H257">
        <v>14.73</v>
      </c>
      <c r="I257">
        <v>171</v>
      </c>
      <c r="J257">
        <v>157</v>
      </c>
      <c r="K257">
        <v>241</v>
      </c>
      <c r="L257" s="2">
        <v>3.3449074074074071E-3</v>
      </c>
      <c r="M257" s="2">
        <v>0</v>
      </c>
      <c r="N257" s="2">
        <v>0</v>
      </c>
      <c r="O257" s="2">
        <v>0</v>
      </c>
      <c r="P257" s="2">
        <v>0</v>
      </c>
    </row>
    <row r="258" spans="1:16" x14ac:dyDescent="0.3">
      <c r="A258" s="1">
        <v>44260.003657407404</v>
      </c>
      <c r="B258" s="1">
        <v>44260.017372685186</v>
      </c>
      <c r="C258">
        <v>19.739999999999998</v>
      </c>
      <c r="D258" s="2">
        <v>1.3703703703703704E-2</v>
      </c>
      <c r="E258">
        <v>4.08</v>
      </c>
      <c r="F258" s="2">
        <v>3.3564814814814811E-3</v>
      </c>
      <c r="G258">
        <v>12.4</v>
      </c>
      <c r="H258">
        <v>13.71</v>
      </c>
      <c r="I258">
        <v>180</v>
      </c>
      <c r="J258">
        <v>167</v>
      </c>
      <c r="K258">
        <v>289</v>
      </c>
      <c r="L258" s="2">
        <v>3.3101851851851851E-3</v>
      </c>
      <c r="M258" s="2">
        <v>0</v>
      </c>
      <c r="N258" s="2">
        <v>0</v>
      </c>
      <c r="O258" s="2">
        <v>0</v>
      </c>
      <c r="P258" s="2">
        <v>0</v>
      </c>
    </row>
    <row r="259" spans="1:16" x14ac:dyDescent="0.3">
      <c r="A259" s="1">
        <v>44261.890266203707</v>
      </c>
      <c r="B259" s="1">
        <v>44261.929560185185</v>
      </c>
      <c r="C259">
        <v>56.58</v>
      </c>
      <c r="D259" s="2">
        <v>3.9293981481481485E-2</v>
      </c>
      <c r="E259">
        <v>12.032</v>
      </c>
      <c r="F259" s="2">
        <v>3.2638888888888891E-3</v>
      </c>
      <c r="G259">
        <v>12.76</v>
      </c>
      <c r="H259">
        <v>14.64</v>
      </c>
      <c r="I259">
        <v>179</v>
      </c>
      <c r="J259">
        <v>163</v>
      </c>
      <c r="K259">
        <v>854</v>
      </c>
      <c r="L259" s="2">
        <v>2.9629629629629628E-3</v>
      </c>
      <c r="M259" s="2">
        <v>1.5949074074074074E-2</v>
      </c>
      <c r="N259" s="2">
        <v>3.2175925925925927E-2</v>
      </c>
      <c r="O259" s="2">
        <v>0</v>
      </c>
      <c r="P259" s="2">
        <v>0</v>
      </c>
    </row>
    <row r="260" spans="1:16" x14ac:dyDescent="0.3">
      <c r="A260" s="1">
        <v>44264.922743055555</v>
      </c>
      <c r="B260" s="1">
        <v>44264.959641203706</v>
      </c>
      <c r="C260">
        <v>53.13</v>
      </c>
      <c r="D260" s="2">
        <v>3.6886574074074079E-2</v>
      </c>
      <c r="E260">
        <v>10.397</v>
      </c>
      <c r="F260" s="2">
        <v>3.5416666666666665E-3</v>
      </c>
      <c r="G260">
        <v>11.74</v>
      </c>
      <c r="H260">
        <v>14.6</v>
      </c>
      <c r="I260">
        <v>164</v>
      </c>
      <c r="J260">
        <v>136</v>
      </c>
      <c r="K260">
        <v>783</v>
      </c>
      <c r="L260" s="2">
        <v>3.3101851851851851E-3</v>
      </c>
      <c r="M260" s="2">
        <v>1.7314814814814814E-2</v>
      </c>
      <c r="N260" s="2">
        <v>3.5312500000000004E-2</v>
      </c>
      <c r="O260" s="2">
        <v>0</v>
      </c>
      <c r="P260" s="2">
        <v>0</v>
      </c>
    </row>
    <row r="261" spans="1:16" x14ac:dyDescent="0.3">
      <c r="A261" s="1">
        <v>44268.898622685185</v>
      </c>
      <c r="B261" s="1">
        <v>44268.933923611112</v>
      </c>
      <c r="C261">
        <v>50.83</v>
      </c>
      <c r="D261" s="2">
        <v>3.5300925925925923E-2</v>
      </c>
      <c r="E261">
        <v>10.042</v>
      </c>
      <c r="F261" s="2">
        <v>3.5069444444444445E-3</v>
      </c>
      <c r="G261">
        <v>11.85</v>
      </c>
      <c r="H261">
        <v>14.3</v>
      </c>
      <c r="I261">
        <v>185</v>
      </c>
      <c r="J261">
        <v>158</v>
      </c>
      <c r="K261">
        <v>752</v>
      </c>
      <c r="L261" s="2">
        <v>3.3217592592592591E-3</v>
      </c>
      <c r="M261" s="2">
        <v>1.7152777777777777E-2</v>
      </c>
      <c r="N261" s="2">
        <v>3.5127314814814813E-2</v>
      </c>
      <c r="O261" s="2">
        <v>0</v>
      </c>
      <c r="P261" s="2">
        <v>0</v>
      </c>
    </row>
    <row r="262" spans="1:16" x14ac:dyDescent="0.3">
      <c r="A262" s="1">
        <v>44271.921516203707</v>
      </c>
      <c r="B262" s="1">
        <v>44271.962268518517</v>
      </c>
      <c r="C262">
        <v>58.68</v>
      </c>
      <c r="D262" s="2">
        <v>4.0740740740740737E-2</v>
      </c>
      <c r="E262">
        <v>13.073</v>
      </c>
      <c r="F262" s="2">
        <v>3.1134259259259257E-3</v>
      </c>
      <c r="G262">
        <v>13.37</v>
      </c>
      <c r="H262">
        <v>24.8</v>
      </c>
      <c r="I262">
        <v>176</v>
      </c>
      <c r="J262">
        <v>157</v>
      </c>
      <c r="K262">
        <v>874</v>
      </c>
      <c r="L262" s="2">
        <v>2.615740740740741E-3</v>
      </c>
      <c r="M262" s="2">
        <v>1.4953703703703705E-2</v>
      </c>
      <c r="N262" s="2">
        <v>3.0624999999999999E-2</v>
      </c>
      <c r="O262" s="2">
        <v>0</v>
      </c>
      <c r="P262" s="2">
        <v>0</v>
      </c>
    </row>
    <row r="263" spans="1:16" x14ac:dyDescent="0.3">
      <c r="A263" s="1">
        <v>44275.962893518517</v>
      </c>
      <c r="B263" s="1">
        <v>44276.025173611109</v>
      </c>
      <c r="C263">
        <v>89.68</v>
      </c>
      <c r="D263" s="2">
        <v>6.2268518518518522E-2</v>
      </c>
      <c r="E263">
        <v>18.100999999999999</v>
      </c>
      <c r="F263" s="2">
        <v>3.4375E-3</v>
      </c>
      <c r="G263">
        <v>12.11</v>
      </c>
      <c r="H263">
        <v>14.85</v>
      </c>
      <c r="I263">
        <v>176</v>
      </c>
      <c r="J263">
        <v>158</v>
      </c>
      <c r="K263">
        <v>1332</v>
      </c>
      <c r="L263" s="2">
        <v>3.2175925925925926E-3</v>
      </c>
      <c r="M263" s="2">
        <v>1.6932870370370369E-2</v>
      </c>
      <c r="N263" s="2">
        <v>3.4282407407407407E-2</v>
      </c>
      <c r="O263" s="2">
        <v>0</v>
      </c>
      <c r="P263" s="2">
        <v>0</v>
      </c>
    </row>
    <row r="264" spans="1:16" x14ac:dyDescent="0.3">
      <c r="A264" s="1">
        <v>44279.911585648151</v>
      </c>
      <c r="B264" s="1">
        <v>44279.950011574074</v>
      </c>
      <c r="C264">
        <v>55.33</v>
      </c>
      <c r="D264" s="2">
        <v>3.8414351851851852E-2</v>
      </c>
      <c r="E264">
        <v>11.635</v>
      </c>
      <c r="F264" s="2">
        <v>3.2986111111111111E-3</v>
      </c>
      <c r="G264">
        <v>12.62</v>
      </c>
      <c r="H264">
        <v>17.350000000000001</v>
      </c>
      <c r="I264">
        <v>174</v>
      </c>
      <c r="J264">
        <v>161</v>
      </c>
      <c r="K264">
        <v>821</v>
      </c>
      <c r="L264" s="2">
        <v>3.0208333333333333E-3</v>
      </c>
      <c r="M264" s="2">
        <v>1.5925925925925927E-2</v>
      </c>
      <c r="N264" s="2">
        <v>3.2685185185185185E-2</v>
      </c>
      <c r="O264" s="2">
        <v>0</v>
      </c>
      <c r="P264" s="2">
        <v>0</v>
      </c>
    </row>
    <row r="265" spans="1:16" x14ac:dyDescent="0.3">
      <c r="A265" s="1">
        <v>44283.929560185185</v>
      </c>
      <c r="B265" s="1">
        <v>44283.971678240741</v>
      </c>
      <c r="C265">
        <v>60.65</v>
      </c>
      <c r="D265" s="2">
        <v>4.2106481481481488E-2</v>
      </c>
      <c r="E265">
        <v>12.545</v>
      </c>
      <c r="F265" s="2">
        <v>3.3564814814814811E-3</v>
      </c>
      <c r="G265">
        <v>12.41</v>
      </c>
      <c r="H265">
        <v>14.5</v>
      </c>
      <c r="I265">
        <v>179</v>
      </c>
      <c r="J265">
        <v>167</v>
      </c>
      <c r="K265">
        <v>912</v>
      </c>
      <c r="L265" s="2">
        <v>3.1365740740740742E-3</v>
      </c>
      <c r="M265" s="2">
        <v>1.636574074074074E-2</v>
      </c>
      <c r="N265" s="2">
        <v>3.3055555555555553E-2</v>
      </c>
      <c r="O265" s="2">
        <v>0</v>
      </c>
      <c r="P265" s="2">
        <v>0</v>
      </c>
    </row>
    <row r="266" spans="1:16" x14ac:dyDescent="0.3">
      <c r="A266" s="1">
        <v>44287.977870370371</v>
      </c>
      <c r="B266" s="1">
        <v>44288.033750000002</v>
      </c>
      <c r="C266">
        <v>74.16</v>
      </c>
      <c r="D266" s="2">
        <v>5.1493055555555556E-2</v>
      </c>
      <c r="E266">
        <v>15.106999999999999</v>
      </c>
      <c r="F266" s="2">
        <v>3.4027777777777784E-3</v>
      </c>
      <c r="G266">
        <v>12.22</v>
      </c>
      <c r="H266">
        <v>17.97</v>
      </c>
      <c r="I266">
        <v>173</v>
      </c>
      <c r="J266">
        <v>159</v>
      </c>
      <c r="K266">
        <v>1064</v>
      </c>
      <c r="L266" s="2">
        <v>3.0902777777777782E-3</v>
      </c>
      <c r="M266" s="2">
        <v>1.6331018518518519E-2</v>
      </c>
      <c r="N266" s="2">
        <v>3.3506944444444443E-2</v>
      </c>
      <c r="O266" s="2">
        <v>0</v>
      </c>
      <c r="P266" s="2">
        <v>0</v>
      </c>
    </row>
    <row r="267" spans="1:16" x14ac:dyDescent="0.3">
      <c r="A267" s="1">
        <v>44290.984699074077</v>
      </c>
      <c r="B267" s="1">
        <v>44291.022997685184</v>
      </c>
      <c r="C267">
        <v>55.15</v>
      </c>
      <c r="D267" s="2">
        <v>3.8287037037037036E-2</v>
      </c>
      <c r="E267">
        <v>11.54</v>
      </c>
      <c r="F267" s="2">
        <v>3.3101851851851851E-3</v>
      </c>
      <c r="G267">
        <v>12.55</v>
      </c>
      <c r="H267">
        <v>16.36</v>
      </c>
      <c r="I267">
        <v>181</v>
      </c>
      <c r="J267">
        <v>170</v>
      </c>
      <c r="K267">
        <v>779</v>
      </c>
      <c r="L267" s="2">
        <v>3.1365740740740742E-3</v>
      </c>
      <c r="M267" s="2">
        <v>1.6238425925925924E-2</v>
      </c>
      <c r="N267" s="2">
        <v>3.3020833333333333E-2</v>
      </c>
      <c r="O267" s="2">
        <v>0</v>
      </c>
      <c r="P267" s="2">
        <v>0</v>
      </c>
    </row>
    <row r="268" spans="1:16" x14ac:dyDescent="0.3">
      <c r="A268" s="1">
        <v>44293.870405092595</v>
      </c>
      <c r="B268" s="1">
        <v>44293.912118055552</v>
      </c>
      <c r="C268">
        <v>60.07</v>
      </c>
      <c r="D268" s="2">
        <v>4.1701388888888885E-2</v>
      </c>
      <c r="E268">
        <v>12.223000000000001</v>
      </c>
      <c r="F268" s="2">
        <v>3.4027777777777784E-3</v>
      </c>
      <c r="G268">
        <v>12.21</v>
      </c>
      <c r="H268">
        <v>16.170000000000002</v>
      </c>
      <c r="I268">
        <v>176</v>
      </c>
      <c r="J268">
        <v>160</v>
      </c>
      <c r="K268">
        <v>883</v>
      </c>
      <c r="L268" s="2">
        <v>3.1134259259259257E-3</v>
      </c>
      <c r="M268" s="2">
        <v>1.6435185185185188E-2</v>
      </c>
      <c r="N268" s="2">
        <v>3.3622685185185179E-2</v>
      </c>
      <c r="O268" s="2">
        <v>0</v>
      </c>
      <c r="P268" s="2">
        <v>0</v>
      </c>
    </row>
    <row r="269" spans="1:16" x14ac:dyDescent="0.3">
      <c r="A269" s="1">
        <v>44297.9221875</v>
      </c>
      <c r="B269" s="1">
        <v>44297.986655092594</v>
      </c>
      <c r="C269">
        <v>91.4</v>
      </c>
      <c r="D269" s="2">
        <v>6.3460648148148155E-2</v>
      </c>
      <c r="E269">
        <v>18.210999999999999</v>
      </c>
      <c r="F269" s="2">
        <v>3.483796296296296E-3</v>
      </c>
      <c r="G269">
        <v>11.95</v>
      </c>
      <c r="H269">
        <v>15.08</v>
      </c>
      <c r="I269">
        <v>181</v>
      </c>
      <c r="J269">
        <v>162</v>
      </c>
      <c r="K269">
        <v>1361</v>
      </c>
      <c r="L269" s="2">
        <v>3.2060185185185191E-3</v>
      </c>
      <c r="M269" s="2">
        <v>1.6469907407407405E-2</v>
      </c>
      <c r="N269" s="2">
        <v>3.3854166666666664E-2</v>
      </c>
      <c r="O269" s="2">
        <v>0</v>
      </c>
      <c r="P269" s="2">
        <v>0</v>
      </c>
    </row>
    <row r="270" spans="1:16" x14ac:dyDescent="0.3">
      <c r="A270" s="1">
        <v>44300.657349537039</v>
      </c>
      <c r="B270" s="1">
        <v>44300.685787037037</v>
      </c>
      <c r="C270">
        <v>36.340000000000003</v>
      </c>
      <c r="D270" s="2">
        <v>2.5231481481481483E-2</v>
      </c>
      <c r="E270">
        <v>5.7460000000000004</v>
      </c>
      <c r="F270" s="2">
        <v>4.386574074074074E-3</v>
      </c>
      <c r="G270">
        <v>9.49</v>
      </c>
      <c r="H270">
        <v>17.7</v>
      </c>
      <c r="I270">
        <v>157</v>
      </c>
      <c r="J270">
        <v>134</v>
      </c>
      <c r="K270">
        <v>462</v>
      </c>
      <c r="L270" s="2">
        <v>4.1319444444444442E-3</v>
      </c>
      <c r="M270" s="2">
        <v>2.1770833333333336E-2</v>
      </c>
      <c r="N270" s="2">
        <v>0</v>
      </c>
      <c r="O270" s="2">
        <v>0</v>
      </c>
      <c r="P270" s="2">
        <v>0</v>
      </c>
    </row>
    <row r="271" spans="1:16" x14ac:dyDescent="0.3">
      <c r="A271" s="1">
        <v>44300.691921296297</v>
      </c>
      <c r="B271" s="1">
        <v>44300.710520833331</v>
      </c>
      <c r="C271">
        <v>26.78</v>
      </c>
      <c r="D271" s="2">
        <v>1.8587962962962962E-2</v>
      </c>
      <c r="E271">
        <v>5.5579999999999998</v>
      </c>
      <c r="F271" s="2">
        <v>3.3449074074074071E-3</v>
      </c>
      <c r="G271">
        <v>12.45</v>
      </c>
      <c r="H271">
        <v>24.52</v>
      </c>
      <c r="I271">
        <v>173</v>
      </c>
      <c r="J271">
        <v>161</v>
      </c>
      <c r="K271">
        <v>384</v>
      </c>
      <c r="L271" s="2">
        <v>3.0555555555555557E-3</v>
      </c>
      <c r="M271" s="2">
        <v>1.6608796296296299E-2</v>
      </c>
      <c r="N271" s="2">
        <v>0</v>
      </c>
      <c r="O271" s="2">
        <v>0</v>
      </c>
      <c r="P271" s="2">
        <v>0</v>
      </c>
    </row>
    <row r="272" spans="1:16" x14ac:dyDescent="0.3">
      <c r="A272" s="1">
        <v>44303.982627314814</v>
      </c>
      <c r="B272" s="1">
        <v>44304.023020833331</v>
      </c>
      <c r="C272">
        <v>58.17</v>
      </c>
      <c r="D272" s="2">
        <v>4.0381944444444443E-2</v>
      </c>
      <c r="E272">
        <v>12.111000000000001</v>
      </c>
      <c r="F272" s="2">
        <v>3.3333333333333335E-3</v>
      </c>
      <c r="G272">
        <v>12.49</v>
      </c>
      <c r="H272">
        <v>15.36</v>
      </c>
      <c r="I272">
        <v>173</v>
      </c>
      <c r="J272">
        <v>159</v>
      </c>
      <c r="K272">
        <v>864</v>
      </c>
      <c r="L272" s="2">
        <v>3.0324074074074073E-3</v>
      </c>
      <c r="M272" s="2">
        <v>1.5833333333333335E-2</v>
      </c>
      <c r="N272" s="2">
        <v>3.2812500000000001E-2</v>
      </c>
      <c r="O272" s="2">
        <v>0</v>
      </c>
      <c r="P272" s="2">
        <v>0</v>
      </c>
    </row>
    <row r="273" spans="1:16" x14ac:dyDescent="0.3">
      <c r="A273" s="1">
        <v>44306.97388888889</v>
      </c>
      <c r="B273" s="1">
        <v>44307.009710648148</v>
      </c>
      <c r="C273">
        <v>51.58</v>
      </c>
      <c r="D273" s="2">
        <v>3.5821759259259262E-2</v>
      </c>
      <c r="E273">
        <v>10.552</v>
      </c>
      <c r="F273" s="2">
        <v>3.3912037037037036E-3</v>
      </c>
      <c r="G273">
        <v>12.27</v>
      </c>
      <c r="H273">
        <v>16.45</v>
      </c>
      <c r="I273">
        <v>173</v>
      </c>
      <c r="J273">
        <v>161</v>
      </c>
      <c r="K273">
        <v>718</v>
      </c>
      <c r="L273" s="2">
        <v>3.1597222222222222E-3</v>
      </c>
      <c r="M273" s="2">
        <v>1.6562500000000001E-2</v>
      </c>
      <c r="N273" s="2">
        <v>3.3703703703703701E-2</v>
      </c>
      <c r="O273" s="2">
        <v>0</v>
      </c>
      <c r="P273" s="2">
        <v>0</v>
      </c>
    </row>
    <row r="274" spans="1:16" x14ac:dyDescent="0.3">
      <c r="A274" s="1">
        <v>44308.530046296299</v>
      </c>
      <c r="B274" s="1">
        <v>44308.548333333332</v>
      </c>
      <c r="C274">
        <v>26.32</v>
      </c>
      <c r="D274" s="2">
        <v>1.8275462962962962E-2</v>
      </c>
      <c r="E274">
        <v>5.5960000000000001</v>
      </c>
      <c r="F274" s="2">
        <v>3.2638888888888891E-3</v>
      </c>
      <c r="G274">
        <v>12.76</v>
      </c>
      <c r="H274">
        <v>16.11</v>
      </c>
      <c r="I274">
        <v>178</v>
      </c>
      <c r="J274">
        <v>168</v>
      </c>
      <c r="K274">
        <v>233</v>
      </c>
      <c r="L274" s="2">
        <v>2.6388888888888885E-3</v>
      </c>
      <c r="M274" s="2">
        <v>1.5891203703703703E-2</v>
      </c>
      <c r="N274" s="2">
        <v>0</v>
      </c>
      <c r="O274" s="2">
        <v>0</v>
      </c>
      <c r="P274" s="2">
        <v>0</v>
      </c>
    </row>
    <row r="275" spans="1:16" x14ac:dyDescent="0.3">
      <c r="A275" s="1">
        <v>44308.872546296298</v>
      </c>
      <c r="B275" s="1">
        <v>44308.917118055557</v>
      </c>
      <c r="C275">
        <v>64.180000000000007</v>
      </c>
      <c r="D275" s="2">
        <v>4.4560185185185182E-2</v>
      </c>
      <c r="E275">
        <v>11.65</v>
      </c>
      <c r="F275" s="2">
        <v>3.8194444444444443E-3</v>
      </c>
      <c r="G275">
        <v>10.89</v>
      </c>
      <c r="H275">
        <v>18.190000000000001</v>
      </c>
      <c r="I275">
        <v>180</v>
      </c>
      <c r="J275">
        <v>169</v>
      </c>
      <c r="K275">
        <v>941</v>
      </c>
      <c r="L275" s="2">
        <v>3.1597222222222222E-3</v>
      </c>
      <c r="M275" s="2">
        <v>1.6898148148148148E-2</v>
      </c>
      <c r="N275" s="2">
        <v>3.7511574074074072E-2</v>
      </c>
      <c r="O275" s="2">
        <v>0</v>
      </c>
      <c r="P275" s="2">
        <v>0</v>
      </c>
    </row>
    <row r="276" spans="1:16" x14ac:dyDescent="0.3">
      <c r="A276" s="1">
        <v>44309.210104166668</v>
      </c>
      <c r="B276" s="1">
        <v>44309.257141203707</v>
      </c>
      <c r="C276">
        <v>67.73</v>
      </c>
      <c r="D276" s="2">
        <v>4.702546296296297E-2</v>
      </c>
      <c r="E276">
        <v>11.103</v>
      </c>
      <c r="F276" s="2">
        <v>4.2361111111111106E-3</v>
      </c>
      <c r="G276">
        <v>9.84</v>
      </c>
      <c r="H276">
        <v>13.44</v>
      </c>
      <c r="I276">
        <v>171</v>
      </c>
      <c r="J276">
        <v>155</v>
      </c>
      <c r="K276">
        <v>975</v>
      </c>
      <c r="L276" s="2">
        <v>3.9120370370370368E-3</v>
      </c>
      <c r="M276" s="2">
        <v>2.0185185185185184E-2</v>
      </c>
      <c r="N276" s="2">
        <v>4.071759259259259E-2</v>
      </c>
      <c r="O276" s="2">
        <v>0</v>
      </c>
      <c r="P276" s="2">
        <v>0</v>
      </c>
    </row>
    <row r="277" spans="1:16" x14ac:dyDescent="0.3">
      <c r="A277" s="1">
        <v>44312.964386574073</v>
      </c>
      <c r="B277" s="1">
        <v>44313.009641203702</v>
      </c>
      <c r="C277">
        <v>65.17</v>
      </c>
      <c r="D277" s="2">
        <v>4.5243055555555557E-2</v>
      </c>
      <c r="E277">
        <v>13.04</v>
      </c>
      <c r="F277" s="2">
        <v>3.4606481481481485E-3</v>
      </c>
      <c r="G277">
        <v>12.01</v>
      </c>
      <c r="H277">
        <v>21.94</v>
      </c>
      <c r="I277">
        <v>176</v>
      </c>
      <c r="J277">
        <v>157</v>
      </c>
      <c r="K277">
        <v>911</v>
      </c>
      <c r="L277" s="2">
        <v>2.9629629629629628E-3</v>
      </c>
      <c r="M277" s="2">
        <v>1.6585648148148148E-2</v>
      </c>
      <c r="N277" s="2">
        <v>3.4270833333333334E-2</v>
      </c>
      <c r="O277" s="2">
        <v>0</v>
      </c>
      <c r="P277" s="2">
        <v>0</v>
      </c>
    </row>
    <row r="278" spans="1:16" x14ac:dyDescent="0.3">
      <c r="A278" s="1">
        <v>44314.860266203701</v>
      </c>
      <c r="B278" s="1">
        <v>44314.901203703703</v>
      </c>
      <c r="C278">
        <v>58.95</v>
      </c>
      <c r="D278" s="2">
        <v>4.0925925925925928E-2</v>
      </c>
      <c r="E278">
        <v>11.157999999999999</v>
      </c>
      <c r="F278" s="2">
        <v>3.6574074074074074E-3</v>
      </c>
      <c r="G278">
        <v>11.36</v>
      </c>
      <c r="H278">
        <v>16.36</v>
      </c>
      <c r="I278">
        <v>173</v>
      </c>
      <c r="J278">
        <v>148</v>
      </c>
      <c r="K278">
        <v>824</v>
      </c>
      <c r="L278" s="2">
        <v>3.1944444444444442E-3</v>
      </c>
      <c r="M278" s="2">
        <v>1.7002314814814814E-2</v>
      </c>
      <c r="N278" s="2">
        <v>3.6203703703703703E-2</v>
      </c>
      <c r="O278" s="2">
        <v>0</v>
      </c>
      <c r="P278" s="2">
        <v>0</v>
      </c>
    </row>
    <row r="279" spans="1:16" x14ac:dyDescent="0.3">
      <c r="A279" s="1">
        <v>44318.005636574075</v>
      </c>
      <c r="B279" s="1">
        <v>44318.050416666665</v>
      </c>
      <c r="C279">
        <v>64.48</v>
      </c>
      <c r="D279" s="2">
        <v>4.476851851851852E-2</v>
      </c>
      <c r="E279">
        <v>13.06</v>
      </c>
      <c r="F279" s="2">
        <v>3.425925925925926E-3</v>
      </c>
      <c r="G279">
        <v>12.15</v>
      </c>
      <c r="H279">
        <v>14.98</v>
      </c>
      <c r="I279">
        <v>185</v>
      </c>
      <c r="J279">
        <v>155</v>
      </c>
      <c r="K279">
        <v>945</v>
      </c>
      <c r="L279" s="2">
        <v>3.1944444444444442E-3</v>
      </c>
      <c r="M279" s="2">
        <v>1.6608796296296299E-2</v>
      </c>
      <c r="N279" s="2">
        <v>3.3750000000000002E-2</v>
      </c>
      <c r="O279" s="2">
        <v>0</v>
      </c>
      <c r="P279" s="2">
        <v>0</v>
      </c>
    </row>
    <row r="280" spans="1:16" x14ac:dyDescent="0.3">
      <c r="A280" s="1">
        <v>44321.949224537035</v>
      </c>
      <c r="B280" s="1">
        <v>44321.993807870371</v>
      </c>
      <c r="C280">
        <v>56.35</v>
      </c>
      <c r="D280" s="2">
        <v>3.9120370370370368E-2</v>
      </c>
      <c r="E280">
        <v>11.117000000000001</v>
      </c>
      <c r="F280" s="2">
        <v>3.5185185185185185E-3</v>
      </c>
      <c r="G280">
        <v>11.84</v>
      </c>
      <c r="H280">
        <v>15.24</v>
      </c>
      <c r="I280">
        <v>172</v>
      </c>
      <c r="J280">
        <v>157</v>
      </c>
      <c r="K280">
        <v>827</v>
      </c>
      <c r="L280" s="2">
        <v>3.2175925925925926E-3</v>
      </c>
      <c r="M280" s="2">
        <v>1.7002314814814814E-2</v>
      </c>
      <c r="N280" s="2">
        <v>3.4884259259259261E-2</v>
      </c>
      <c r="O280" s="2">
        <v>0</v>
      </c>
      <c r="P280" s="2">
        <v>0</v>
      </c>
    </row>
    <row r="281" spans="1:16" x14ac:dyDescent="0.3">
      <c r="A281" s="1">
        <v>44324.968414351853</v>
      </c>
      <c r="B281" s="1">
        <v>44325.03052083333</v>
      </c>
      <c r="C281">
        <v>82.56</v>
      </c>
      <c r="D281" s="2">
        <v>5.7326388888888892E-2</v>
      </c>
      <c r="E281">
        <v>15.615</v>
      </c>
      <c r="F281" s="2">
        <v>3.6689814814814814E-3</v>
      </c>
      <c r="G281">
        <v>11.35</v>
      </c>
      <c r="H281">
        <v>15.48</v>
      </c>
      <c r="I281">
        <v>169</v>
      </c>
      <c r="J281">
        <v>157</v>
      </c>
      <c r="K281">
        <v>1182</v>
      </c>
      <c r="L281" s="2">
        <v>3.3333333333333335E-3</v>
      </c>
      <c r="M281" s="2">
        <v>1.7835648148148149E-2</v>
      </c>
      <c r="N281" s="2">
        <v>3.6435185185185189E-2</v>
      </c>
      <c r="O281" s="2">
        <v>0</v>
      </c>
      <c r="P281" s="2">
        <v>0</v>
      </c>
    </row>
    <row r="282" spans="1:16" x14ac:dyDescent="0.3">
      <c r="A282" s="1">
        <v>44330.672395833331</v>
      </c>
      <c r="B282" s="1">
        <v>44330.702835648146</v>
      </c>
      <c r="C282">
        <v>43.37</v>
      </c>
      <c r="D282" s="2">
        <v>3.0115740740740738E-2</v>
      </c>
      <c r="E282">
        <v>8.2230000000000008</v>
      </c>
      <c r="F282" s="2">
        <v>3.6574074074074074E-3</v>
      </c>
      <c r="G282">
        <v>11.38</v>
      </c>
      <c r="H282">
        <v>19.09</v>
      </c>
      <c r="I282">
        <v>174</v>
      </c>
      <c r="J282">
        <v>162</v>
      </c>
      <c r="K282">
        <v>649</v>
      </c>
      <c r="L282" s="2">
        <v>3.3449074074074071E-3</v>
      </c>
      <c r="M282" s="2">
        <v>1.7743055555555557E-2</v>
      </c>
      <c r="N282" s="2">
        <v>0</v>
      </c>
      <c r="O282" s="2">
        <v>0</v>
      </c>
      <c r="P282" s="2">
        <v>0</v>
      </c>
    </row>
    <row r="283" spans="1:16" x14ac:dyDescent="0.3">
      <c r="A283" s="1">
        <v>44332.715775462966</v>
      </c>
      <c r="B283" s="1">
        <v>44332.74596064815</v>
      </c>
      <c r="C283">
        <v>43.47</v>
      </c>
      <c r="D283" s="2">
        <v>3.0185185185185186E-2</v>
      </c>
      <c r="E283">
        <v>8.2170000000000005</v>
      </c>
      <c r="F283" s="2">
        <v>3.6689814814814814E-3</v>
      </c>
      <c r="G283">
        <v>11.34</v>
      </c>
      <c r="H283">
        <v>15.58</v>
      </c>
      <c r="I283">
        <v>171</v>
      </c>
      <c r="J283">
        <v>164</v>
      </c>
      <c r="K283">
        <v>629</v>
      </c>
      <c r="L283" s="2">
        <v>3.3449074074074071E-3</v>
      </c>
      <c r="M283" s="2">
        <v>1.7627314814814814E-2</v>
      </c>
      <c r="N283" s="2">
        <v>0</v>
      </c>
      <c r="O283" s="2">
        <v>0</v>
      </c>
      <c r="P283" s="2">
        <v>0</v>
      </c>
    </row>
    <row r="284" spans="1:16" x14ac:dyDescent="0.3">
      <c r="A284" s="1">
        <v>44337.672592592593</v>
      </c>
      <c r="B284" s="1">
        <v>44337.714421296296</v>
      </c>
      <c r="C284">
        <v>59.91</v>
      </c>
      <c r="D284" s="2">
        <v>4.1597222222222223E-2</v>
      </c>
      <c r="E284">
        <v>12.193</v>
      </c>
      <c r="F284" s="2">
        <v>3.4027777777777784E-3</v>
      </c>
      <c r="G284">
        <v>12.21</v>
      </c>
      <c r="H284">
        <v>15.64</v>
      </c>
      <c r="I284">
        <v>173</v>
      </c>
      <c r="J284">
        <v>165</v>
      </c>
      <c r="K284">
        <v>888</v>
      </c>
      <c r="L284" s="2">
        <v>3.1828703703703702E-3</v>
      </c>
      <c r="M284" s="2">
        <v>1.667824074074074E-2</v>
      </c>
      <c r="N284" s="2">
        <v>3.3715277777777775E-2</v>
      </c>
      <c r="O284" s="2">
        <v>0</v>
      </c>
      <c r="P284" s="2">
        <v>0</v>
      </c>
    </row>
    <row r="285" spans="1:16" x14ac:dyDescent="0.3">
      <c r="A285" s="1">
        <v>44338.942430555559</v>
      </c>
      <c r="B285" s="1">
        <v>44338.980162037034</v>
      </c>
      <c r="C285">
        <v>54.33</v>
      </c>
      <c r="D285" s="2">
        <v>3.771990740740741E-2</v>
      </c>
      <c r="E285">
        <v>10.529</v>
      </c>
      <c r="F285" s="2">
        <v>3.5763888888888894E-3</v>
      </c>
      <c r="G285">
        <v>11.63</v>
      </c>
      <c r="H285">
        <v>15.81</v>
      </c>
      <c r="I285">
        <v>171</v>
      </c>
      <c r="J285">
        <v>151</v>
      </c>
      <c r="K285">
        <v>791</v>
      </c>
      <c r="L285" s="2">
        <v>3.3912037037037036E-3</v>
      </c>
      <c r="M285" s="2">
        <v>1.7546296296296296E-2</v>
      </c>
      <c r="N285" s="2">
        <v>3.577546296296296E-2</v>
      </c>
      <c r="O285" s="2">
        <v>0</v>
      </c>
      <c r="P285" s="2">
        <v>0</v>
      </c>
    </row>
    <row r="286" spans="1:16" x14ac:dyDescent="0.3">
      <c r="A286" s="1">
        <v>44343.979201388887</v>
      </c>
      <c r="B286" s="1">
        <v>44344.021782407406</v>
      </c>
      <c r="C286">
        <v>61.32</v>
      </c>
      <c r="D286" s="2">
        <v>4.2569444444444444E-2</v>
      </c>
      <c r="E286">
        <v>12.631</v>
      </c>
      <c r="F286" s="2">
        <v>3.3680555555555551E-3</v>
      </c>
      <c r="G286">
        <v>12.36</v>
      </c>
      <c r="H286">
        <v>16.87</v>
      </c>
      <c r="I286">
        <v>173</v>
      </c>
      <c r="J286">
        <v>165</v>
      </c>
      <c r="K286">
        <v>910</v>
      </c>
      <c r="L286" s="2">
        <v>3.2175925925925926E-3</v>
      </c>
      <c r="M286" s="2">
        <v>1.6608796296296299E-2</v>
      </c>
      <c r="N286" s="2">
        <v>3.3275462962962958E-2</v>
      </c>
      <c r="O286" s="2">
        <v>0</v>
      </c>
      <c r="P286" s="2">
        <v>0</v>
      </c>
    </row>
    <row r="287" spans="1:16" x14ac:dyDescent="0.3">
      <c r="A287" s="1">
        <v>44345.900497685187</v>
      </c>
      <c r="B287" s="1">
        <v>44345.936956018515</v>
      </c>
      <c r="C287">
        <v>52.5</v>
      </c>
      <c r="D287" s="2">
        <v>3.6446759259259262E-2</v>
      </c>
      <c r="E287">
        <v>10.021000000000001</v>
      </c>
      <c r="F287" s="2">
        <v>3.6342592592592594E-3</v>
      </c>
      <c r="G287">
        <v>11.45</v>
      </c>
      <c r="H287">
        <v>14.71</v>
      </c>
      <c r="I287">
        <v>156</v>
      </c>
      <c r="J287">
        <v>140</v>
      </c>
      <c r="K287">
        <v>761</v>
      </c>
      <c r="L287" s="2">
        <v>3.414351851851852E-3</v>
      </c>
      <c r="M287" s="2">
        <v>1.7569444444444447E-2</v>
      </c>
      <c r="N287" s="2">
        <v>3.6331018518518519E-2</v>
      </c>
      <c r="O287" s="2">
        <v>0</v>
      </c>
      <c r="P287" s="2">
        <v>0</v>
      </c>
    </row>
    <row r="288" spans="1:16" x14ac:dyDescent="0.3">
      <c r="A288" s="1">
        <v>44350.980486111112</v>
      </c>
      <c r="B288" s="1">
        <v>44351.02547453704</v>
      </c>
      <c r="C288">
        <v>64.78</v>
      </c>
      <c r="D288" s="2">
        <v>4.4976851851851851E-2</v>
      </c>
      <c r="E288">
        <v>13.179</v>
      </c>
      <c r="F288" s="2">
        <v>3.4027777777777784E-3</v>
      </c>
      <c r="G288">
        <v>12.21</v>
      </c>
      <c r="H288">
        <v>15.76</v>
      </c>
      <c r="I288">
        <v>175</v>
      </c>
      <c r="J288">
        <v>162</v>
      </c>
      <c r="K288">
        <v>977</v>
      </c>
      <c r="L288" s="2">
        <v>3.2523148148148151E-3</v>
      </c>
      <c r="M288" s="2">
        <v>1.6863425925925928E-2</v>
      </c>
      <c r="N288" s="2">
        <v>3.3935185185185186E-2</v>
      </c>
      <c r="O288" s="2">
        <v>0</v>
      </c>
      <c r="P288" s="2">
        <v>0</v>
      </c>
    </row>
    <row r="289" spans="1:16" x14ac:dyDescent="0.3">
      <c r="A289" s="1">
        <v>44352.97016203704</v>
      </c>
      <c r="B289" s="1">
        <v>44353.025324074071</v>
      </c>
      <c r="C289">
        <v>79.430000000000007</v>
      </c>
      <c r="D289" s="2">
        <v>5.5162037037037037E-2</v>
      </c>
      <c r="E289">
        <v>16.079000000000001</v>
      </c>
      <c r="F289" s="2">
        <v>3.425925925925926E-3</v>
      </c>
      <c r="G289">
        <v>12.15</v>
      </c>
      <c r="H289">
        <v>15.62</v>
      </c>
      <c r="I289">
        <v>172</v>
      </c>
      <c r="J289">
        <v>159</v>
      </c>
      <c r="K289">
        <v>1177</v>
      </c>
      <c r="L289" s="2">
        <v>3.1944444444444442E-3</v>
      </c>
      <c r="M289" s="2">
        <v>1.6863425925925928E-2</v>
      </c>
      <c r="N289" s="2">
        <v>3.4166666666666672E-2</v>
      </c>
      <c r="O289" s="2">
        <v>0</v>
      </c>
      <c r="P289" s="2">
        <v>0</v>
      </c>
    </row>
    <row r="290" spans="1:16" x14ac:dyDescent="0.3">
      <c r="A290" s="1">
        <v>44356.960659722223</v>
      </c>
      <c r="B290" s="1">
        <v>44357.003217592595</v>
      </c>
      <c r="C290">
        <v>61.28</v>
      </c>
      <c r="D290" s="2">
        <v>4.2546296296296297E-2</v>
      </c>
      <c r="E290">
        <v>12.558</v>
      </c>
      <c r="F290" s="2">
        <v>3.37962962962963E-3</v>
      </c>
      <c r="G290">
        <v>12.3</v>
      </c>
      <c r="H290">
        <v>15.59</v>
      </c>
      <c r="I290">
        <v>172</v>
      </c>
      <c r="J290">
        <v>161</v>
      </c>
      <c r="K290">
        <v>920</v>
      </c>
      <c r="L290" s="2">
        <v>3.1365740740740742E-3</v>
      </c>
      <c r="M290" s="2">
        <v>1.6273148148148148E-2</v>
      </c>
      <c r="N290" s="2">
        <v>3.3344907407407406E-2</v>
      </c>
      <c r="O290" s="2">
        <v>0</v>
      </c>
      <c r="P290" s="2">
        <v>0</v>
      </c>
    </row>
    <row r="291" spans="1:16" x14ac:dyDescent="0.3">
      <c r="A291" s="1">
        <v>44358.719837962963</v>
      </c>
      <c r="B291" s="1">
        <v>44358.740057870367</v>
      </c>
      <c r="C291">
        <v>29.12</v>
      </c>
      <c r="D291" s="2">
        <v>2.0219907407407409E-2</v>
      </c>
      <c r="E291">
        <v>6.2729999999999997</v>
      </c>
      <c r="F291" s="2">
        <v>3.2175925925925926E-3</v>
      </c>
      <c r="G291">
        <v>12.93</v>
      </c>
      <c r="H291">
        <v>15.49</v>
      </c>
      <c r="I291">
        <v>171</v>
      </c>
      <c r="J291">
        <v>159</v>
      </c>
      <c r="K291">
        <v>443</v>
      </c>
      <c r="L291" s="2">
        <v>3.0324074074074073E-3</v>
      </c>
      <c r="M291" s="2">
        <v>1.5694444444444445E-2</v>
      </c>
      <c r="N291" s="2">
        <v>0</v>
      </c>
      <c r="O291" s="2">
        <v>0</v>
      </c>
      <c r="P291" s="2">
        <v>0</v>
      </c>
    </row>
    <row r="292" spans="1:16" x14ac:dyDescent="0.3">
      <c r="A292" s="1">
        <v>44359.948298611111</v>
      </c>
      <c r="B292" s="1">
        <v>44359.984166666669</v>
      </c>
      <c r="C292">
        <v>51.65</v>
      </c>
      <c r="D292" s="2">
        <v>3.5856481481481482E-2</v>
      </c>
      <c r="E292">
        <v>10.084</v>
      </c>
      <c r="F292" s="2">
        <v>3.5532407407407405E-3</v>
      </c>
      <c r="G292">
        <v>11.71</v>
      </c>
      <c r="H292">
        <v>15.28</v>
      </c>
      <c r="I292">
        <v>167</v>
      </c>
      <c r="J292">
        <v>148</v>
      </c>
      <c r="K292">
        <v>757</v>
      </c>
      <c r="L292" s="2">
        <v>3.3912037037037036E-3</v>
      </c>
      <c r="M292" s="2">
        <v>1.7187499999999998E-2</v>
      </c>
      <c r="N292" s="2">
        <v>3.5532407407407408E-2</v>
      </c>
      <c r="O292" s="2">
        <v>0</v>
      </c>
      <c r="P292" s="2">
        <v>0</v>
      </c>
    </row>
    <row r="293" spans="1:16" x14ac:dyDescent="0.3">
      <c r="A293" s="1">
        <v>44363.961956018517</v>
      </c>
      <c r="B293" s="1">
        <v>44364.007372685184</v>
      </c>
      <c r="C293">
        <v>65.400000000000006</v>
      </c>
      <c r="D293" s="2">
        <v>4.5416666666666668E-2</v>
      </c>
      <c r="E293">
        <v>13.43</v>
      </c>
      <c r="F293" s="2">
        <v>3.37962962962963E-3</v>
      </c>
      <c r="G293">
        <v>12.32</v>
      </c>
      <c r="H293">
        <v>14.72</v>
      </c>
      <c r="I293">
        <v>169</v>
      </c>
      <c r="J293">
        <v>159</v>
      </c>
      <c r="K293">
        <v>979</v>
      </c>
      <c r="L293" s="2">
        <v>3.2291666666666666E-3</v>
      </c>
      <c r="M293" s="2">
        <v>1.6550925925925924E-2</v>
      </c>
      <c r="N293" s="2">
        <v>3.3402777777777774E-2</v>
      </c>
      <c r="O293" s="2">
        <v>0</v>
      </c>
      <c r="P293" s="2">
        <v>0</v>
      </c>
    </row>
    <row r="294" spans="1:16" x14ac:dyDescent="0.3">
      <c r="A294" s="1">
        <v>44366.927974537037</v>
      </c>
      <c r="B294" s="1">
        <v>44366.966770833336</v>
      </c>
      <c r="C294">
        <v>55.87</v>
      </c>
      <c r="D294" s="2">
        <v>3.8784722222222227E-2</v>
      </c>
      <c r="E294">
        <v>10.536</v>
      </c>
      <c r="F294" s="2">
        <v>3.6805555555555554E-3</v>
      </c>
      <c r="G294">
        <v>11.32</v>
      </c>
      <c r="H294">
        <v>17.52</v>
      </c>
      <c r="I294">
        <v>180</v>
      </c>
      <c r="J294">
        <v>138</v>
      </c>
      <c r="K294">
        <v>796</v>
      </c>
      <c r="L294" s="2">
        <v>3.3912037037037036E-3</v>
      </c>
      <c r="M294" s="2">
        <v>1.7893518518518517E-2</v>
      </c>
      <c r="N294" s="2">
        <v>3.6562499999999998E-2</v>
      </c>
      <c r="O294" s="2">
        <v>0</v>
      </c>
      <c r="P294" s="2">
        <v>0</v>
      </c>
    </row>
    <row r="295" spans="1:16" x14ac:dyDescent="0.3">
      <c r="A295" s="1">
        <v>44368.941006944442</v>
      </c>
      <c r="B295" s="1">
        <v>44368.97760416667</v>
      </c>
      <c r="C295">
        <v>52.7</v>
      </c>
      <c r="D295" s="2">
        <v>3.6597222222222225E-2</v>
      </c>
      <c r="E295">
        <v>12.128</v>
      </c>
      <c r="F295" s="2">
        <v>3.0092592592592588E-3</v>
      </c>
      <c r="G295">
        <v>13.81</v>
      </c>
      <c r="H295">
        <v>16.350000000000001</v>
      </c>
      <c r="I295">
        <v>175</v>
      </c>
      <c r="J295">
        <v>166</v>
      </c>
      <c r="K295">
        <v>798</v>
      </c>
      <c r="L295" s="2">
        <v>2.8703703703703708E-3</v>
      </c>
      <c r="M295" s="2">
        <v>1.4849537037037036E-2</v>
      </c>
      <c r="N295" s="2">
        <v>2.9849537037037036E-2</v>
      </c>
      <c r="O295" s="2">
        <v>0</v>
      </c>
      <c r="P295" s="2">
        <v>0</v>
      </c>
    </row>
    <row r="296" spans="1:16" x14ac:dyDescent="0.3">
      <c r="A296" s="1">
        <v>44371.971736111111</v>
      </c>
      <c r="B296" s="1">
        <v>44372.014178240737</v>
      </c>
      <c r="C296">
        <v>61.12</v>
      </c>
      <c r="D296" s="2">
        <v>4.2442129629629628E-2</v>
      </c>
      <c r="E296">
        <v>12.335000000000001</v>
      </c>
      <c r="F296" s="2">
        <v>3.4375E-3</v>
      </c>
      <c r="G296">
        <v>12.11</v>
      </c>
      <c r="H296">
        <v>15.53</v>
      </c>
      <c r="I296">
        <v>169</v>
      </c>
      <c r="J296">
        <v>160</v>
      </c>
      <c r="K296">
        <v>909</v>
      </c>
      <c r="L296" s="2">
        <v>3.2291666666666666E-3</v>
      </c>
      <c r="M296" s="2">
        <v>1.6932870370370369E-2</v>
      </c>
      <c r="N296" s="2">
        <v>3.4224537037037032E-2</v>
      </c>
      <c r="O296" s="2">
        <v>0</v>
      </c>
      <c r="P296" s="2">
        <v>0</v>
      </c>
    </row>
    <row r="297" spans="1:16" x14ac:dyDescent="0.3">
      <c r="A297" s="1">
        <v>44373.965648148151</v>
      </c>
      <c r="B297" s="1">
        <v>44374.018506944441</v>
      </c>
      <c r="C297">
        <v>70.709999999999994</v>
      </c>
      <c r="D297" s="2">
        <v>4.9097222222222216E-2</v>
      </c>
      <c r="E297">
        <v>13.375999999999999</v>
      </c>
      <c r="F297" s="2">
        <v>3.6689814814814814E-3</v>
      </c>
      <c r="G297">
        <v>11.35</v>
      </c>
      <c r="H297">
        <v>16.89</v>
      </c>
      <c r="I297">
        <v>161</v>
      </c>
      <c r="J297">
        <v>150</v>
      </c>
      <c r="K297">
        <v>1011</v>
      </c>
      <c r="L297" s="2">
        <v>3.2870370370370367E-3</v>
      </c>
      <c r="M297" s="2">
        <v>1.7685185185185182E-2</v>
      </c>
      <c r="N297" s="2">
        <v>3.6284722222222225E-2</v>
      </c>
      <c r="O297" s="2">
        <v>0</v>
      </c>
      <c r="P297" s="2">
        <v>0</v>
      </c>
    </row>
    <row r="298" spans="1:16" x14ac:dyDescent="0.3">
      <c r="A298" s="1">
        <v>44377.943229166667</v>
      </c>
      <c r="B298" s="1">
        <v>44377.984548611108</v>
      </c>
      <c r="C298">
        <v>53.89</v>
      </c>
      <c r="D298" s="2">
        <v>3.7418981481481477E-2</v>
      </c>
      <c r="E298">
        <v>11.064</v>
      </c>
      <c r="F298" s="2">
        <v>3.37962962962963E-3</v>
      </c>
      <c r="G298">
        <v>12.32</v>
      </c>
      <c r="H298">
        <v>18.47</v>
      </c>
      <c r="I298">
        <v>173</v>
      </c>
      <c r="J298">
        <v>159</v>
      </c>
      <c r="K298">
        <v>760</v>
      </c>
      <c r="L298" s="2">
        <v>3.1249999999999997E-3</v>
      </c>
      <c r="M298" s="2">
        <v>1.6180555555555556E-2</v>
      </c>
      <c r="N298" s="2">
        <v>3.3611111111111112E-2</v>
      </c>
      <c r="O298" s="2">
        <v>0</v>
      </c>
      <c r="P298" s="2">
        <v>0</v>
      </c>
    </row>
    <row r="299" spans="1:16" x14ac:dyDescent="0.3">
      <c r="A299" s="1">
        <v>44380.952719907407</v>
      </c>
      <c r="B299" s="1">
        <v>44380.989837962959</v>
      </c>
      <c r="C299">
        <v>53.45</v>
      </c>
      <c r="D299" s="2">
        <v>3.7118055555555557E-2</v>
      </c>
      <c r="E299">
        <v>10.042999999999999</v>
      </c>
      <c r="F299" s="2">
        <v>3.6921296296296298E-3</v>
      </c>
      <c r="G299">
        <v>11.27</v>
      </c>
      <c r="H299">
        <v>14.72</v>
      </c>
      <c r="I299">
        <v>162</v>
      </c>
      <c r="J299">
        <v>151</v>
      </c>
      <c r="K299">
        <v>769</v>
      </c>
      <c r="L299" s="2">
        <v>3.4490740740740745E-3</v>
      </c>
      <c r="M299" s="2">
        <v>1.7974537037037035E-2</v>
      </c>
      <c r="N299" s="2">
        <v>3.6840277777777777E-2</v>
      </c>
      <c r="O299" s="2">
        <v>0</v>
      </c>
      <c r="P299" s="2">
        <v>0</v>
      </c>
    </row>
    <row r="300" spans="1:16" x14ac:dyDescent="0.3">
      <c r="A300" s="1">
        <v>44384.980069444442</v>
      </c>
      <c r="B300" s="1">
        <v>44385.018495370372</v>
      </c>
      <c r="C300">
        <v>55.33</v>
      </c>
      <c r="D300" s="2">
        <v>3.8414351851851852E-2</v>
      </c>
      <c r="E300">
        <v>11.116</v>
      </c>
      <c r="F300" s="2">
        <v>3.4490740740740745E-3</v>
      </c>
      <c r="G300">
        <v>12.05</v>
      </c>
      <c r="H300">
        <v>15.17</v>
      </c>
      <c r="I300">
        <v>172</v>
      </c>
      <c r="J300">
        <v>160</v>
      </c>
      <c r="K300">
        <v>805</v>
      </c>
      <c r="L300" s="2">
        <v>3.2407407407407406E-3</v>
      </c>
      <c r="M300" s="2">
        <v>1.6793981481481483E-2</v>
      </c>
      <c r="N300" s="2">
        <v>3.394675925925926E-2</v>
      </c>
      <c r="O300" s="2">
        <v>0</v>
      </c>
      <c r="P300" s="2">
        <v>0</v>
      </c>
    </row>
    <row r="301" spans="1:16" x14ac:dyDescent="0.3">
      <c r="A301" s="1">
        <v>44386.260196759256</v>
      </c>
      <c r="B301" s="1">
        <v>44386.321388888886</v>
      </c>
      <c r="C301">
        <v>88.12</v>
      </c>
      <c r="D301" s="2">
        <v>6.1180555555555551E-2</v>
      </c>
      <c r="E301">
        <v>17.317</v>
      </c>
      <c r="F301" s="2">
        <v>3.530092592592592E-3</v>
      </c>
      <c r="G301">
        <v>11.79</v>
      </c>
      <c r="H301">
        <v>17.47</v>
      </c>
      <c r="I301">
        <v>175</v>
      </c>
      <c r="J301">
        <v>148</v>
      </c>
      <c r="K301">
        <v>1339</v>
      </c>
      <c r="L301" s="2">
        <v>3.0902777777777782E-3</v>
      </c>
      <c r="M301" s="2">
        <v>1.6620370370370372E-2</v>
      </c>
      <c r="N301" s="2">
        <v>3.4791666666666672E-2</v>
      </c>
      <c r="O301" s="2">
        <v>0</v>
      </c>
      <c r="P301" s="2">
        <v>0</v>
      </c>
    </row>
    <row r="302" spans="1:16" x14ac:dyDescent="0.3">
      <c r="A302" s="1">
        <v>44387.955833333333</v>
      </c>
      <c r="B302" s="1">
        <v>44387.995891203704</v>
      </c>
      <c r="C302">
        <v>57.68</v>
      </c>
      <c r="D302" s="2">
        <v>4.0046296296296295E-2</v>
      </c>
      <c r="E302">
        <v>10.042999999999999</v>
      </c>
      <c r="F302" s="2">
        <v>3.9814814814814817E-3</v>
      </c>
      <c r="G302">
        <v>10.45</v>
      </c>
      <c r="H302">
        <v>14.73</v>
      </c>
      <c r="I302">
        <v>166</v>
      </c>
      <c r="J302">
        <v>142</v>
      </c>
      <c r="K302">
        <v>785</v>
      </c>
      <c r="L302" s="2">
        <v>3.483796296296296E-3</v>
      </c>
      <c r="M302" s="2">
        <v>1.849537037037037E-2</v>
      </c>
      <c r="N302" s="2">
        <v>3.9837962962962964E-2</v>
      </c>
      <c r="O302" s="2">
        <v>0</v>
      </c>
      <c r="P302" s="2">
        <v>0</v>
      </c>
    </row>
    <row r="303" spans="1:16" x14ac:dyDescent="0.3">
      <c r="A303" s="1">
        <v>44390.869363425925</v>
      </c>
      <c r="B303" s="1">
        <v>44390.909467592595</v>
      </c>
      <c r="C303">
        <v>57.75</v>
      </c>
      <c r="D303" s="2">
        <v>4.010416666666667E-2</v>
      </c>
      <c r="E303">
        <v>10.112</v>
      </c>
      <c r="F303" s="2">
        <v>3.9583333333333337E-3</v>
      </c>
      <c r="G303">
        <v>10.51</v>
      </c>
      <c r="H303">
        <v>16.420000000000002</v>
      </c>
      <c r="I303">
        <v>165</v>
      </c>
      <c r="J303">
        <v>147</v>
      </c>
      <c r="K303">
        <v>800</v>
      </c>
      <c r="L303" s="2">
        <v>3.4606481481481485E-3</v>
      </c>
      <c r="M303" s="2">
        <v>1.9050925925925926E-2</v>
      </c>
      <c r="N303" s="2">
        <v>3.953703703703703E-2</v>
      </c>
      <c r="O303" s="2">
        <v>0</v>
      </c>
      <c r="P303" s="2">
        <v>0</v>
      </c>
    </row>
    <row r="304" spans="1:16" x14ac:dyDescent="0.3">
      <c r="A304" s="1">
        <v>44393.236712962964</v>
      </c>
      <c r="B304" s="1">
        <v>44393.294849537036</v>
      </c>
      <c r="C304">
        <v>83.72</v>
      </c>
      <c r="D304" s="2">
        <v>5.8125000000000003E-2</v>
      </c>
      <c r="E304">
        <v>15.04</v>
      </c>
      <c r="F304" s="2">
        <v>3.8541666666666668E-3</v>
      </c>
      <c r="G304">
        <v>10.78</v>
      </c>
      <c r="H304">
        <v>15.34</v>
      </c>
      <c r="I304">
        <v>165</v>
      </c>
      <c r="J304">
        <v>138</v>
      </c>
      <c r="K304">
        <v>1181</v>
      </c>
      <c r="L304" s="2">
        <v>3.1944444444444442E-3</v>
      </c>
      <c r="M304" s="2">
        <v>1.712962962962963E-2</v>
      </c>
      <c r="N304" s="2">
        <v>3.6666666666666667E-2</v>
      </c>
      <c r="O304" s="2">
        <v>0</v>
      </c>
      <c r="P304" s="2">
        <v>0</v>
      </c>
    </row>
    <row r="305" spans="1:16" x14ac:dyDescent="0.3">
      <c r="A305" s="1">
        <v>44396.963159722225</v>
      </c>
      <c r="B305" s="1">
        <v>44397.006157407406</v>
      </c>
      <c r="C305">
        <v>61</v>
      </c>
      <c r="D305" s="2">
        <v>4.2361111111111106E-2</v>
      </c>
      <c r="E305">
        <v>12.129</v>
      </c>
      <c r="F305" s="2">
        <v>3.483796296296296E-3</v>
      </c>
      <c r="G305">
        <v>11.93</v>
      </c>
      <c r="H305">
        <v>16.079999999999998</v>
      </c>
      <c r="I305">
        <v>175</v>
      </c>
      <c r="J305">
        <v>161</v>
      </c>
      <c r="K305">
        <v>853</v>
      </c>
      <c r="L305" s="2">
        <v>3.1249999999999997E-3</v>
      </c>
      <c r="M305" s="2">
        <v>1.6909722222222225E-2</v>
      </c>
      <c r="N305" s="2">
        <v>3.4768518518518525E-2</v>
      </c>
      <c r="O305" s="2">
        <v>0</v>
      </c>
      <c r="P305" s="2">
        <v>0</v>
      </c>
    </row>
    <row r="306" spans="1:16" x14ac:dyDescent="0.3">
      <c r="A306" s="1">
        <v>44401.976597222223</v>
      </c>
      <c r="B306" s="1">
        <v>44402.013761574075</v>
      </c>
      <c r="C306">
        <v>53.52</v>
      </c>
      <c r="D306" s="2">
        <v>3.7152777777777778E-2</v>
      </c>
      <c r="E306">
        <v>10.02</v>
      </c>
      <c r="F306" s="2">
        <v>3.7037037037037034E-3</v>
      </c>
      <c r="G306">
        <v>11.23</v>
      </c>
      <c r="H306">
        <v>14.16</v>
      </c>
      <c r="I306">
        <v>167</v>
      </c>
      <c r="J306">
        <v>155</v>
      </c>
      <c r="K306">
        <v>771</v>
      </c>
      <c r="L306" s="2">
        <v>3.4606481481481485E-3</v>
      </c>
      <c r="M306" s="2">
        <v>1.7777777777777778E-2</v>
      </c>
      <c r="N306" s="2">
        <v>3.7013888888888888E-2</v>
      </c>
      <c r="O306" s="2">
        <v>0</v>
      </c>
      <c r="P306" s="2">
        <v>0</v>
      </c>
    </row>
    <row r="307" spans="1:16" x14ac:dyDescent="0.3">
      <c r="A307" s="1">
        <v>44403.939942129633</v>
      </c>
      <c r="B307" s="1">
        <v>44403.984768518516</v>
      </c>
      <c r="C307">
        <v>63.39</v>
      </c>
      <c r="D307" s="2">
        <v>4.4016203703703703E-2</v>
      </c>
      <c r="E307">
        <v>13.353</v>
      </c>
      <c r="F307" s="2">
        <v>3.2870370370370367E-3</v>
      </c>
      <c r="G307">
        <v>12.64</v>
      </c>
      <c r="H307">
        <v>20.81</v>
      </c>
      <c r="I307">
        <v>176</v>
      </c>
      <c r="J307">
        <v>162</v>
      </c>
      <c r="K307">
        <v>937</v>
      </c>
      <c r="L307" s="2">
        <v>3.0902777777777782E-3</v>
      </c>
      <c r="M307" s="2">
        <v>1.5949074074074074E-2</v>
      </c>
      <c r="N307" s="2">
        <v>3.2245370370370369E-2</v>
      </c>
      <c r="O307" s="2">
        <v>0</v>
      </c>
      <c r="P307" s="2">
        <v>0</v>
      </c>
    </row>
    <row r="308" spans="1:16" x14ac:dyDescent="0.3">
      <c r="A308" s="1">
        <v>44408.966678240744</v>
      </c>
      <c r="B308" s="1">
        <v>44409.007152777776</v>
      </c>
      <c r="C308">
        <v>57.77</v>
      </c>
      <c r="D308" s="2">
        <v>4.0115740740740737E-2</v>
      </c>
      <c r="E308">
        <v>10.51</v>
      </c>
      <c r="F308" s="2">
        <v>3.8078703703703707E-3</v>
      </c>
      <c r="G308">
        <v>10.92</v>
      </c>
      <c r="H308">
        <v>16.78</v>
      </c>
      <c r="I308">
        <v>169</v>
      </c>
      <c r="J308">
        <v>157</v>
      </c>
      <c r="K308">
        <v>818</v>
      </c>
      <c r="L308" s="2">
        <v>3.5879629629629629E-3</v>
      </c>
      <c r="M308" s="2">
        <v>1.8564814814814815E-2</v>
      </c>
      <c r="N308" s="2">
        <v>3.7986111111111116E-2</v>
      </c>
      <c r="O308" s="2">
        <v>0</v>
      </c>
      <c r="P308" s="2">
        <v>0</v>
      </c>
    </row>
    <row r="309" spans="1:16" x14ac:dyDescent="0.3">
      <c r="A309" s="1">
        <v>44412.941724537035</v>
      </c>
      <c r="B309" s="1">
        <v>44412.996458333335</v>
      </c>
      <c r="C309">
        <v>77.03</v>
      </c>
      <c r="D309" s="2">
        <v>5.3483796296296293E-2</v>
      </c>
      <c r="E309">
        <v>15.536</v>
      </c>
      <c r="F309" s="2">
        <v>3.4375E-3</v>
      </c>
      <c r="G309">
        <v>12.1</v>
      </c>
      <c r="H309">
        <v>15.32</v>
      </c>
      <c r="I309">
        <v>173</v>
      </c>
      <c r="J309">
        <v>157</v>
      </c>
      <c r="K309">
        <v>1128</v>
      </c>
      <c r="L309" s="2">
        <v>3.1597222222222222E-3</v>
      </c>
      <c r="M309" s="2">
        <v>1.6296296296296295E-2</v>
      </c>
      <c r="N309" s="2">
        <v>3.3622685185185179E-2</v>
      </c>
      <c r="O309" s="2">
        <v>0</v>
      </c>
      <c r="P309" s="2">
        <v>0</v>
      </c>
    </row>
    <row r="310" spans="1:16" x14ac:dyDescent="0.3">
      <c r="A310" s="1">
        <v>44415.963842592595</v>
      </c>
      <c r="B310" s="1">
        <v>44416.010821759257</v>
      </c>
      <c r="C310">
        <v>67.650000000000006</v>
      </c>
      <c r="D310" s="2">
        <v>4.6979166666666662E-2</v>
      </c>
      <c r="E310">
        <v>13.06</v>
      </c>
      <c r="F310" s="2">
        <v>3.5879629629629629E-3</v>
      </c>
      <c r="G310">
        <v>11.58</v>
      </c>
      <c r="H310">
        <v>15.46</v>
      </c>
      <c r="I310">
        <v>172</v>
      </c>
      <c r="J310">
        <v>144</v>
      </c>
      <c r="K310">
        <v>953</v>
      </c>
      <c r="L310" s="2">
        <v>3.3680555555555551E-3</v>
      </c>
      <c r="M310" s="2">
        <v>1.7534722222222222E-2</v>
      </c>
      <c r="N310" s="2">
        <v>3.5416666666666666E-2</v>
      </c>
      <c r="O310" s="2">
        <v>0</v>
      </c>
      <c r="P310" s="2">
        <v>0</v>
      </c>
    </row>
    <row r="311" spans="1:16" x14ac:dyDescent="0.3">
      <c r="A311" s="1">
        <v>44418.869340277779</v>
      </c>
      <c r="B311" s="1">
        <v>44418.906655092593</v>
      </c>
      <c r="C311">
        <v>53.73</v>
      </c>
      <c r="D311" s="2">
        <v>3.7303240740740741E-2</v>
      </c>
      <c r="E311">
        <v>10.018000000000001</v>
      </c>
      <c r="F311" s="2">
        <v>3.7152777777777774E-3</v>
      </c>
      <c r="G311">
        <v>11.19</v>
      </c>
      <c r="H311">
        <v>14.75</v>
      </c>
      <c r="I311">
        <v>163</v>
      </c>
      <c r="J311">
        <v>152</v>
      </c>
      <c r="K311">
        <v>763</v>
      </c>
      <c r="L311" s="2">
        <v>3.3101851851851851E-3</v>
      </c>
      <c r="M311" s="2">
        <v>1.8148148148148146E-2</v>
      </c>
      <c r="N311" s="2">
        <v>3.7187499999999998E-2</v>
      </c>
      <c r="O311" s="2">
        <v>0</v>
      </c>
      <c r="P311" s="2">
        <v>0</v>
      </c>
    </row>
    <row r="312" spans="1:16" x14ac:dyDescent="0.3">
      <c r="A312" s="1">
        <v>44427.977708333332</v>
      </c>
      <c r="B312" s="1">
        <v>44428.028703703705</v>
      </c>
      <c r="C312">
        <v>66.98</v>
      </c>
      <c r="D312" s="2">
        <v>4.6516203703703705E-2</v>
      </c>
      <c r="E312">
        <v>12.523</v>
      </c>
      <c r="F312" s="2">
        <v>3.7037037037037034E-3</v>
      </c>
      <c r="G312">
        <v>11.22</v>
      </c>
      <c r="H312">
        <v>16.440000000000001</v>
      </c>
      <c r="I312">
        <v>166</v>
      </c>
      <c r="J312">
        <v>155</v>
      </c>
      <c r="K312">
        <v>929</v>
      </c>
      <c r="L312" s="2">
        <v>3.5069444444444445E-3</v>
      </c>
      <c r="M312" s="2">
        <v>1.7893518518518517E-2</v>
      </c>
      <c r="N312" s="2">
        <v>3.6782407407407409E-2</v>
      </c>
      <c r="O312" s="2">
        <v>0</v>
      </c>
      <c r="P312" s="2">
        <v>0</v>
      </c>
    </row>
    <row r="313" spans="1:16" x14ac:dyDescent="0.3">
      <c r="A313" s="1">
        <v>44441.899317129632</v>
      </c>
      <c r="B313" s="1">
        <v>44441.941782407404</v>
      </c>
      <c r="C313">
        <v>61.15</v>
      </c>
      <c r="D313" s="2">
        <v>4.2453703703703709E-2</v>
      </c>
      <c r="E313">
        <v>12.04</v>
      </c>
      <c r="F313" s="2">
        <v>3.5185185185185185E-3</v>
      </c>
      <c r="G313">
        <v>11.81</v>
      </c>
      <c r="H313">
        <v>24.51</v>
      </c>
      <c r="I313">
        <v>172</v>
      </c>
      <c r="J313">
        <v>162</v>
      </c>
      <c r="K313">
        <v>847</v>
      </c>
      <c r="L313" s="2">
        <v>3.0671296296296297E-3</v>
      </c>
      <c r="M313" s="2">
        <v>1.7233796296296296E-2</v>
      </c>
      <c r="N313" s="2">
        <v>3.5081018518518518E-2</v>
      </c>
      <c r="O313" s="2">
        <v>0</v>
      </c>
      <c r="P313" s="2">
        <v>0</v>
      </c>
    </row>
    <row r="314" spans="1:16" x14ac:dyDescent="0.3">
      <c r="A314" s="1">
        <v>44447.900405092594</v>
      </c>
      <c r="B314" s="1">
        <v>44447.935613425929</v>
      </c>
      <c r="C314">
        <v>50.7</v>
      </c>
      <c r="D314" s="2">
        <v>3.5208333333333335E-2</v>
      </c>
      <c r="E314">
        <v>9.0069999999999997</v>
      </c>
      <c r="F314" s="2">
        <v>3.4490740740740745E-3</v>
      </c>
      <c r="G314">
        <v>12.05</v>
      </c>
      <c r="H314">
        <v>22.19</v>
      </c>
      <c r="I314">
        <v>169</v>
      </c>
      <c r="J314">
        <v>146</v>
      </c>
      <c r="K314">
        <v>661</v>
      </c>
      <c r="L314" s="2">
        <v>3.2986111111111111E-3</v>
      </c>
      <c r="M314" s="2">
        <v>1.8935185185185183E-2</v>
      </c>
      <c r="N314" s="2">
        <v>0</v>
      </c>
      <c r="O314" s="2">
        <v>0</v>
      </c>
      <c r="P314" s="2">
        <v>0</v>
      </c>
    </row>
    <row r="315" spans="1:16" x14ac:dyDescent="0.3">
      <c r="A315" s="1">
        <v>44450.937002314815</v>
      </c>
      <c r="B315" s="1">
        <v>44450.972685185188</v>
      </c>
      <c r="C315">
        <v>51.38</v>
      </c>
      <c r="D315" s="2">
        <v>3.5671296296296298E-2</v>
      </c>
      <c r="E315">
        <v>9.4329999999999998</v>
      </c>
      <c r="F315" s="2">
        <v>3.5532407407407405E-3</v>
      </c>
      <c r="G315">
        <v>11.69</v>
      </c>
      <c r="H315">
        <v>16.89</v>
      </c>
      <c r="I315">
        <v>169</v>
      </c>
      <c r="J315">
        <v>158</v>
      </c>
      <c r="K315">
        <v>659</v>
      </c>
      <c r="L315" s="2">
        <v>3.4606481481481485E-3</v>
      </c>
      <c r="M315" s="2">
        <v>1.8437499999999999E-2</v>
      </c>
      <c r="N315" s="2">
        <v>0</v>
      </c>
      <c r="O315" s="2">
        <v>0</v>
      </c>
      <c r="P315" s="2">
        <v>0</v>
      </c>
    </row>
    <row r="316" spans="1:16" x14ac:dyDescent="0.3">
      <c r="A316" s="1">
        <v>44455.991342592592</v>
      </c>
      <c r="B316" s="1">
        <v>44456.026134259257</v>
      </c>
      <c r="C316">
        <v>50.1</v>
      </c>
      <c r="D316" s="2">
        <v>3.4791666666666672E-2</v>
      </c>
      <c r="E316">
        <v>9.8510000000000009</v>
      </c>
      <c r="F316" s="2">
        <v>3.2060185185185191E-3</v>
      </c>
      <c r="G316">
        <v>12.99</v>
      </c>
      <c r="H316">
        <v>18.329999999999998</v>
      </c>
      <c r="I316">
        <v>173</v>
      </c>
      <c r="J316">
        <v>166</v>
      </c>
      <c r="K316">
        <v>684</v>
      </c>
      <c r="L316" s="2">
        <v>2.9513888888888888E-3</v>
      </c>
      <c r="M316" s="2">
        <v>1.7256944444444446E-2</v>
      </c>
      <c r="N316" s="2">
        <v>0</v>
      </c>
      <c r="O316" s="2">
        <v>0</v>
      </c>
      <c r="P316" s="2">
        <v>0</v>
      </c>
    </row>
    <row r="317" spans="1:16" x14ac:dyDescent="0.3">
      <c r="A317" s="59">
        <v>44456.026863425926</v>
      </c>
      <c r="B317" s="1">
        <v>44456.04760416667</v>
      </c>
      <c r="C317">
        <v>29.87</v>
      </c>
      <c r="D317" s="2">
        <v>2.074074074074074E-2</v>
      </c>
      <c r="E317">
        <v>5.7480000000000002</v>
      </c>
      <c r="F317" s="2">
        <v>3.3912037037037036E-3</v>
      </c>
      <c r="G317">
        <v>12.25</v>
      </c>
      <c r="H317">
        <v>14.2</v>
      </c>
      <c r="I317">
        <v>0</v>
      </c>
      <c r="J317">
        <v>0</v>
      </c>
      <c r="K317">
        <v>395</v>
      </c>
      <c r="L317" s="2">
        <v>3.3680555555555551E-3</v>
      </c>
      <c r="M317" s="2">
        <v>1.7835648148148149E-2</v>
      </c>
      <c r="N317" s="2">
        <v>0</v>
      </c>
      <c r="O317" s="2">
        <v>0</v>
      </c>
      <c r="P317" s="2">
        <v>0</v>
      </c>
    </row>
    <row r="318" spans="1:16" x14ac:dyDescent="0.3">
      <c r="A318" s="1">
        <v>44456.026921296296</v>
      </c>
      <c r="B318" s="1">
        <v>44456.047500000001</v>
      </c>
      <c r="C318">
        <v>29.62</v>
      </c>
      <c r="D318" s="2">
        <v>2.056712962962963E-2</v>
      </c>
      <c r="E318">
        <v>5.81</v>
      </c>
      <c r="F318" s="2">
        <v>3.530092592592592E-3</v>
      </c>
      <c r="G318">
        <v>11.77</v>
      </c>
      <c r="H318">
        <v>0</v>
      </c>
      <c r="I318">
        <v>173</v>
      </c>
      <c r="J318">
        <v>162</v>
      </c>
      <c r="K318">
        <v>493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</row>
    <row r="319" spans="1:16" x14ac:dyDescent="0.3">
      <c r="A319" s="1">
        <v>44457.948703703703</v>
      </c>
      <c r="B319" s="1">
        <v>44457.983993055554</v>
      </c>
      <c r="C319">
        <v>50.82</v>
      </c>
      <c r="D319" s="2">
        <v>3.5289351851851856E-2</v>
      </c>
      <c r="E319">
        <v>10.125</v>
      </c>
      <c r="F319" s="2">
        <v>3.483796296296296E-3</v>
      </c>
      <c r="G319">
        <v>11.95</v>
      </c>
      <c r="H319">
        <v>14.56</v>
      </c>
      <c r="I319">
        <v>0</v>
      </c>
      <c r="J319">
        <v>0</v>
      </c>
      <c r="K319">
        <v>663</v>
      </c>
      <c r="L319" s="2">
        <v>3.2638888888888891E-3</v>
      </c>
      <c r="M319" s="2">
        <v>1.6898148148148148E-2</v>
      </c>
      <c r="N319" s="2">
        <v>3.4768518518518525E-2</v>
      </c>
      <c r="O319" s="2">
        <v>0</v>
      </c>
      <c r="P319" s="2">
        <v>0</v>
      </c>
    </row>
    <row r="320" spans="1:16" x14ac:dyDescent="0.3">
      <c r="A320" s="1">
        <v>44461.996631944443</v>
      </c>
      <c r="B320" s="1">
        <v>44462.022060185183</v>
      </c>
      <c r="C320">
        <v>36.409999999999997</v>
      </c>
      <c r="D320" s="2">
        <v>2.5277777777777777E-2</v>
      </c>
      <c r="E320">
        <v>7.1130000000000004</v>
      </c>
      <c r="F320" s="2">
        <v>3.5532407407407405E-3</v>
      </c>
      <c r="G320">
        <v>11.72</v>
      </c>
      <c r="H320">
        <v>33.15</v>
      </c>
      <c r="I320">
        <v>175</v>
      </c>
      <c r="J320">
        <v>163</v>
      </c>
      <c r="K320">
        <v>469</v>
      </c>
      <c r="L320" s="2">
        <v>2.9398148148148148E-3</v>
      </c>
      <c r="M320" s="2">
        <v>1.758101851851852E-2</v>
      </c>
      <c r="N320" s="2">
        <v>0</v>
      </c>
      <c r="O320" s="2">
        <v>0</v>
      </c>
      <c r="P320" s="2">
        <v>0</v>
      </c>
    </row>
    <row r="321" spans="1:16" x14ac:dyDescent="0.3">
      <c r="A321" s="59">
        <v>44461.99664351852</v>
      </c>
      <c r="B321" s="1">
        <v>44462.04787037037</v>
      </c>
      <c r="C321">
        <v>72.42</v>
      </c>
      <c r="D321" s="2">
        <v>5.0289351851851849E-2</v>
      </c>
      <c r="E321">
        <v>14.032999999999999</v>
      </c>
      <c r="F321" s="2">
        <v>3.5763888888888894E-3</v>
      </c>
      <c r="G321">
        <v>11.63</v>
      </c>
      <c r="H321">
        <v>14.48</v>
      </c>
      <c r="I321">
        <v>0</v>
      </c>
      <c r="J321">
        <v>0</v>
      </c>
      <c r="K321">
        <v>927</v>
      </c>
      <c r="L321" s="2">
        <v>2.9050925925925928E-3</v>
      </c>
      <c r="M321" s="2">
        <v>1.6921296296296299E-2</v>
      </c>
      <c r="N321" s="2">
        <v>3.4814814814814812E-2</v>
      </c>
      <c r="O321" s="2">
        <v>0</v>
      </c>
      <c r="P321" s="2">
        <v>0</v>
      </c>
    </row>
    <row r="322" spans="1:16" x14ac:dyDescent="0.3">
      <c r="A322" s="1">
        <v>44462.022164351853</v>
      </c>
      <c r="B322" s="1">
        <v>44462.047905092593</v>
      </c>
      <c r="C322">
        <v>35.65</v>
      </c>
      <c r="D322" s="2">
        <v>2.4756944444444443E-2</v>
      </c>
      <c r="E322">
        <v>6.4550000000000001</v>
      </c>
      <c r="F322" s="2">
        <v>3.8310185185185183E-3</v>
      </c>
      <c r="G322">
        <v>10.86</v>
      </c>
      <c r="H322">
        <v>39.14</v>
      </c>
      <c r="I322">
        <v>166</v>
      </c>
      <c r="J322">
        <v>157</v>
      </c>
      <c r="K322">
        <v>450</v>
      </c>
      <c r="L322" s="2">
        <v>2.2222222222222222E-3</v>
      </c>
      <c r="M322" s="2">
        <v>1.6863425925925928E-2</v>
      </c>
      <c r="N322" s="2">
        <v>0</v>
      </c>
      <c r="O322" s="2">
        <v>0</v>
      </c>
      <c r="P322" s="2">
        <v>0</v>
      </c>
    </row>
    <row r="323" spans="1:16" x14ac:dyDescent="0.3">
      <c r="A323" s="1">
        <v>44463.679560185185</v>
      </c>
      <c r="B323" s="1">
        <v>44463.714733796296</v>
      </c>
      <c r="C323">
        <v>50.65</v>
      </c>
      <c r="D323" s="2">
        <v>3.516203703703704E-2</v>
      </c>
      <c r="E323">
        <v>10.292999999999999</v>
      </c>
      <c r="F323" s="2">
        <v>3.414351851851852E-3</v>
      </c>
      <c r="G323">
        <v>12.19</v>
      </c>
      <c r="H323">
        <v>20.79</v>
      </c>
      <c r="I323">
        <v>171</v>
      </c>
      <c r="J323">
        <v>160</v>
      </c>
      <c r="K323">
        <v>672</v>
      </c>
      <c r="L323" s="2">
        <v>2.1296296296296298E-3</v>
      </c>
      <c r="M323" s="2">
        <v>1.4756944444444446E-2</v>
      </c>
      <c r="N323" s="2">
        <v>3.3831018518518517E-2</v>
      </c>
      <c r="O323" s="2">
        <v>0</v>
      </c>
      <c r="P323" s="2">
        <v>0</v>
      </c>
    </row>
    <row r="324" spans="1:16" x14ac:dyDescent="0.3">
      <c r="A324" s="1">
        <v>44465.006724537037</v>
      </c>
      <c r="B324" s="1">
        <v>44465.04310185185</v>
      </c>
      <c r="C324">
        <v>52.38</v>
      </c>
      <c r="D324" s="2">
        <v>3.636574074074074E-2</v>
      </c>
      <c r="E324">
        <v>10.225</v>
      </c>
      <c r="F324" s="2">
        <v>3.5532407407407405E-3</v>
      </c>
      <c r="G324">
        <v>11.71</v>
      </c>
      <c r="H324">
        <v>24.88</v>
      </c>
      <c r="I324">
        <v>159</v>
      </c>
      <c r="J324">
        <v>144</v>
      </c>
      <c r="K324">
        <v>723</v>
      </c>
      <c r="L324" s="2">
        <v>3.0902777777777782E-3</v>
      </c>
      <c r="M324" s="2">
        <v>1.7615740740740741E-2</v>
      </c>
      <c r="N324" s="2">
        <v>3.5543981481481475E-2</v>
      </c>
      <c r="O324" s="2">
        <v>0</v>
      </c>
      <c r="P324" s="2">
        <v>0</v>
      </c>
    </row>
    <row r="325" spans="1:16" x14ac:dyDescent="0.3">
      <c r="A325" s="1">
        <v>44469.990844907406</v>
      </c>
      <c r="B325" s="1">
        <v>44470.027951388889</v>
      </c>
      <c r="C325">
        <v>53.43</v>
      </c>
      <c r="D325" s="2">
        <v>3.7094907407407403E-2</v>
      </c>
      <c r="E325">
        <v>11.403</v>
      </c>
      <c r="F325" s="2">
        <v>3.2523148148148151E-3</v>
      </c>
      <c r="G325">
        <v>12.81</v>
      </c>
      <c r="H325">
        <v>23.84</v>
      </c>
      <c r="I325">
        <v>178</v>
      </c>
      <c r="J325">
        <v>167</v>
      </c>
      <c r="K325">
        <v>791</v>
      </c>
      <c r="L325" s="2">
        <v>2.9861111111111113E-3</v>
      </c>
      <c r="M325" s="2">
        <v>1.5949074074074074E-2</v>
      </c>
      <c r="N325" s="2">
        <v>3.2384259259259258E-2</v>
      </c>
      <c r="O325" s="2">
        <v>0</v>
      </c>
      <c r="P325" s="2">
        <v>0</v>
      </c>
    </row>
    <row r="326" spans="1:16" x14ac:dyDescent="0.3">
      <c r="A326" s="1">
        <v>44471.949525462966</v>
      </c>
      <c r="B326" s="1">
        <v>44471.989224537036</v>
      </c>
      <c r="C326">
        <v>57.17</v>
      </c>
      <c r="D326" s="2">
        <v>3.9687500000000001E-2</v>
      </c>
      <c r="E326">
        <v>10.018000000000001</v>
      </c>
      <c r="F326" s="2">
        <v>3.9583333333333337E-3</v>
      </c>
      <c r="G326">
        <v>10.51</v>
      </c>
      <c r="H326">
        <v>18.77</v>
      </c>
      <c r="I326">
        <v>161</v>
      </c>
      <c r="J326">
        <v>141</v>
      </c>
      <c r="K326">
        <v>773</v>
      </c>
      <c r="L326" s="2">
        <v>3.6111111111111114E-3</v>
      </c>
      <c r="M326" s="2">
        <v>1.9386574074074073E-2</v>
      </c>
      <c r="N326" s="2">
        <v>3.9618055555555552E-2</v>
      </c>
      <c r="O326" s="2">
        <v>0</v>
      </c>
      <c r="P326" s="2">
        <v>0</v>
      </c>
    </row>
    <row r="327" spans="1:16" x14ac:dyDescent="0.3">
      <c r="A327" s="1">
        <v>44473.935995370368</v>
      </c>
      <c r="B327" s="1">
        <v>44473.961574074077</v>
      </c>
      <c r="C327">
        <v>28</v>
      </c>
      <c r="D327" s="2">
        <v>1.9444444444444445E-2</v>
      </c>
      <c r="E327">
        <v>5.6609999999999996</v>
      </c>
      <c r="F327" s="2">
        <v>3.425925925925926E-3</v>
      </c>
      <c r="G327">
        <v>12.13</v>
      </c>
      <c r="H327">
        <v>24.63</v>
      </c>
      <c r="I327">
        <v>158</v>
      </c>
      <c r="J327">
        <v>145</v>
      </c>
      <c r="K327">
        <v>384</v>
      </c>
      <c r="L327" s="2">
        <v>2.9976851851851848E-3</v>
      </c>
      <c r="M327" s="2">
        <v>1.695601851851852E-2</v>
      </c>
      <c r="N327" s="2">
        <v>0</v>
      </c>
      <c r="O327" s="2">
        <v>0</v>
      </c>
      <c r="P327" s="2">
        <v>0</v>
      </c>
    </row>
    <row r="328" spans="1:16" x14ac:dyDescent="0.3">
      <c r="A328" s="1">
        <v>44476.871180555558</v>
      </c>
      <c r="B328" s="1">
        <v>44476.901805555557</v>
      </c>
      <c r="C328">
        <v>44.1</v>
      </c>
      <c r="D328" s="2">
        <v>3.0624999999999999E-2</v>
      </c>
      <c r="E328">
        <v>10.141999999999999</v>
      </c>
      <c r="F328" s="2">
        <v>3.0092592592592588E-3</v>
      </c>
      <c r="G328">
        <v>13.8</v>
      </c>
      <c r="H328">
        <v>23.47</v>
      </c>
      <c r="I328">
        <v>181</v>
      </c>
      <c r="J328">
        <v>174</v>
      </c>
      <c r="K328">
        <v>626</v>
      </c>
      <c r="L328" s="2">
        <v>2.5694444444444445E-3</v>
      </c>
      <c r="M328" s="2">
        <v>1.4560185185185183E-2</v>
      </c>
      <c r="N328" s="2">
        <v>2.9988425925925922E-2</v>
      </c>
      <c r="O328" s="2">
        <v>0</v>
      </c>
      <c r="P328" s="2">
        <v>0</v>
      </c>
    </row>
    <row r="329" spans="1:16" x14ac:dyDescent="0.3">
      <c r="A329" s="1">
        <v>44478.967881944445</v>
      </c>
      <c r="B329" s="1">
        <v>44479.004780092589</v>
      </c>
      <c r="C329">
        <v>53.13</v>
      </c>
      <c r="D329" s="2">
        <v>3.6886574074074079E-2</v>
      </c>
      <c r="E329">
        <v>10.023999999999999</v>
      </c>
      <c r="F329" s="2">
        <v>3.6805555555555554E-3</v>
      </c>
      <c r="G329">
        <v>11.32</v>
      </c>
      <c r="H329">
        <v>15.22</v>
      </c>
      <c r="I329">
        <v>0</v>
      </c>
      <c r="J329">
        <v>0</v>
      </c>
      <c r="K329">
        <v>781</v>
      </c>
      <c r="L329" s="2">
        <v>3.4953703703703705E-3</v>
      </c>
      <c r="M329" s="2">
        <v>1.7893518518518517E-2</v>
      </c>
      <c r="N329" s="2">
        <v>3.6747685185185182E-2</v>
      </c>
      <c r="O329" s="2">
        <v>0</v>
      </c>
      <c r="P329" s="2">
        <v>0</v>
      </c>
    </row>
    <row r="330" spans="1:16" x14ac:dyDescent="0.3">
      <c r="A330" s="1">
        <v>44481.973240740743</v>
      </c>
      <c r="B330" s="1">
        <v>44482.002453703702</v>
      </c>
      <c r="C330">
        <v>27.16</v>
      </c>
      <c r="D330" s="2">
        <v>1.8854166666666665E-2</v>
      </c>
      <c r="E330">
        <v>5.4080000000000004</v>
      </c>
      <c r="F330" s="2">
        <v>3.483796296296296E-3</v>
      </c>
      <c r="G330">
        <v>11.95</v>
      </c>
      <c r="H330">
        <v>17.25</v>
      </c>
      <c r="I330">
        <v>173</v>
      </c>
      <c r="J330">
        <v>156</v>
      </c>
      <c r="K330">
        <v>399</v>
      </c>
      <c r="L330" s="2">
        <v>3.1828703703703702E-3</v>
      </c>
      <c r="M330" s="2">
        <v>1.6793981481481483E-2</v>
      </c>
      <c r="N330" s="2">
        <v>0</v>
      </c>
      <c r="O330" s="2">
        <v>0</v>
      </c>
      <c r="P330" s="2">
        <v>0</v>
      </c>
    </row>
    <row r="331" spans="1:16" x14ac:dyDescent="0.3">
      <c r="A331" s="1">
        <v>44483.960810185185</v>
      </c>
      <c r="B331" s="1">
        <v>44484.005127314813</v>
      </c>
      <c r="C331">
        <v>63.82</v>
      </c>
      <c r="D331" s="2">
        <v>4.431712962962963E-2</v>
      </c>
      <c r="E331">
        <v>12.304</v>
      </c>
      <c r="F331" s="2">
        <v>3.5995370370370369E-3</v>
      </c>
      <c r="G331">
        <v>11.57</v>
      </c>
      <c r="H331">
        <v>14.32</v>
      </c>
      <c r="I331">
        <v>0</v>
      </c>
      <c r="J331">
        <v>0</v>
      </c>
      <c r="K331">
        <v>945</v>
      </c>
      <c r="L331" s="2">
        <v>3.37962962962963E-3</v>
      </c>
      <c r="M331" s="2">
        <v>1.7476851851851851E-2</v>
      </c>
      <c r="N331" s="2">
        <v>3.5833333333333335E-2</v>
      </c>
      <c r="O331" s="2">
        <v>0</v>
      </c>
      <c r="P331" s="2">
        <v>0</v>
      </c>
    </row>
    <row r="332" spans="1:16" x14ac:dyDescent="0.3">
      <c r="A332" s="1">
        <v>44485.880706018521</v>
      </c>
      <c r="B332" s="1">
        <v>44485.887997685182</v>
      </c>
      <c r="C332">
        <v>10.5</v>
      </c>
      <c r="D332" s="2">
        <v>7.2916666666666659E-3</v>
      </c>
      <c r="E332">
        <v>2</v>
      </c>
      <c r="F332" s="2">
        <v>3.645833333333333E-3</v>
      </c>
      <c r="G332">
        <v>11.43</v>
      </c>
      <c r="H332">
        <v>11.87</v>
      </c>
      <c r="I332">
        <v>167</v>
      </c>
      <c r="J332">
        <v>151</v>
      </c>
      <c r="K332">
        <v>172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</row>
    <row r="333" spans="1:16" x14ac:dyDescent="0.3">
      <c r="A333" s="1">
        <v>44485.957974537036</v>
      </c>
      <c r="B333" s="1">
        <v>44485.998252314814</v>
      </c>
      <c r="C333">
        <v>58</v>
      </c>
      <c r="D333" s="2">
        <v>4.02662037037037E-2</v>
      </c>
      <c r="E333">
        <v>11.125999999999999</v>
      </c>
      <c r="F333" s="2">
        <v>3.6111111111111114E-3</v>
      </c>
      <c r="G333">
        <v>11.51</v>
      </c>
      <c r="H333">
        <v>15.15</v>
      </c>
      <c r="I333">
        <v>0</v>
      </c>
      <c r="J333">
        <v>0</v>
      </c>
      <c r="K333">
        <v>837</v>
      </c>
      <c r="L333" s="2">
        <v>3.37962962962963E-3</v>
      </c>
      <c r="M333" s="2">
        <v>1.7719907407407406E-2</v>
      </c>
      <c r="N333" s="2">
        <v>3.605324074074074E-2</v>
      </c>
      <c r="O333" s="2">
        <v>0</v>
      </c>
      <c r="P333" s="2">
        <v>0</v>
      </c>
    </row>
    <row r="334" spans="1:16" x14ac:dyDescent="0.3">
      <c r="A334" s="1">
        <v>44489.609560185185</v>
      </c>
      <c r="B334" s="1">
        <v>44489.658090277779</v>
      </c>
      <c r="C334">
        <v>69.88</v>
      </c>
      <c r="D334" s="2">
        <v>4.8518518518518516E-2</v>
      </c>
      <c r="E334">
        <v>13.489000000000001</v>
      </c>
      <c r="F334" s="2">
        <v>3.5879629629629629E-3</v>
      </c>
      <c r="G334">
        <v>11.58</v>
      </c>
      <c r="H334">
        <v>14.29</v>
      </c>
      <c r="I334">
        <v>0</v>
      </c>
      <c r="J334">
        <v>0</v>
      </c>
      <c r="K334">
        <v>1024</v>
      </c>
      <c r="L334" s="2">
        <v>3.37962962962963E-3</v>
      </c>
      <c r="M334" s="2">
        <v>1.7766203703703704E-2</v>
      </c>
      <c r="N334" s="2">
        <v>3.5763888888888887E-2</v>
      </c>
      <c r="O334" s="2">
        <v>0</v>
      </c>
      <c r="P334" s="2">
        <v>0</v>
      </c>
    </row>
    <row r="335" spans="1:16" x14ac:dyDescent="0.3">
      <c r="A335" s="1">
        <v>44492.975324074076</v>
      </c>
      <c r="B335" s="1">
        <v>44493.026504629626</v>
      </c>
      <c r="C335">
        <v>73.7</v>
      </c>
      <c r="D335" s="2">
        <v>5.1168981481481489E-2</v>
      </c>
      <c r="E335">
        <v>16.14</v>
      </c>
      <c r="F335" s="2">
        <v>3.1597222222222222E-3</v>
      </c>
      <c r="G335">
        <v>13.14</v>
      </c>
      <c r="H335">
        <v>24.59</v>
      </c>
      <c r="I335">
        <v>182</v>
      </c>
      <c r="J335">
        <v>161</v>
      </c>
      <c r="K335">
        <v>1055</v>
      </c>
      <c r="L335" s="2">
        <v>2.2337962962962967E-3</v>
      </c>
      <c r="M335" s="2">
        <v>1.539351851851852E-2</v>
      </c>
      <c r="N335" s="2">
        <v>3.1319444444444448E-2</v>
      </c>
      <c r="O335" s="2">
        <v>0</v>
      </c>
      <c r="P335" s="2">
        <v>0</v>
      </c>
    </row>
    <row r="336" spans="1:16" x14ac:dyDescent="0.3">
      <c r="A336" s="1">
        <v>44496.294895833336</v>
      </c>
      <c r="B336" s="1">
        <v>44496.317499999997</v>
      </c>
      <c r="C336">
        <v>32.549999999999997</v>
      </c>
      <c r="D336" s="2">
        <v>2.2592592592592591E-2</v>
      </c>
      <c r="E336">
        <v>5.4390000000000001</v>
      </c>
      <c r="F336" s="2">
        <v>4.155092592592593E-3</v>
      </c>
      <c r="G336">
        <v>10.029999999999999</v>
      </c>
      <c r="H336">
        <v>17.04</v>
      </c>
      <c r="I336">
        <v>176</v>
      </c>
      <c r="J336">
        <v>138</v>
      </c>
      <c r="K336">
        <v>413</v>
      </c>
      <c r="L336" s="2">
        <v>3.2986111111111111E-3</v>
      </c>
      <c r="M336" s="2">
        <v>2.0844907407407406E-2</v>
      </c>
      <c r="N336" s="2">
        <v>0</v>
      </c>
      <c r="O336" s="2">
        <v>0</v>
      </c>
      <c r="P336" s="2">
        <v>0</v>
      </c>
    </row>
    <row r="337" spans="1:16" x14ac:dyDescent="0.3">
      <c r="A337" s="1">
        <v>44497.963020833333</v>
      </c>
      <c r="B337" s="1">
        <v>44498.009456018517</v>
      </c>
      <c r="C337">
        <v>66.87</v>
      </c>
      <c r="D337" s="2">
        <v>4.6423611111111117E-2</v>
      </c>
      <c r="E337">
        <v>13.252000000000001</v>
      </c>
      <c r="F337" s="2">
        <v>3.4953703703703705E-3</v>
      </c>
      <c r="G337">
        <v>11.89</v>
      </c>
      <c r="H337">
        <v>13.79</v>
      </c>
      <c r="I337">
        <v>0</v>
      </c>
      <c r="J337">
        <v>0</v>
      </c>
      <c r="K337">
        <v>992</v>
      </c>
      <c r="L337" s="2">
        <v>3.2407407407407406E-3</v>
      </c>
      <c r="M337" s="2">
        <v>1.7037037037037038E-2</v>
      </c>
      <c r="N337" s="2">
        <v>3.4571759259259253E-2</v>
      </c>
      <c r="O337" s="2">
        <v>0</v>
      </c>
      <c r="P337" s="2">
        <v>0</v>
      </c>
    </row>
    <row r="338" spans="1:16" x14ac:dyDescent="0.3">
      <c r="A338" s="1">
        <v>44499.953784722224</v>
      </c>
      <c r="B338" s="1">
        <v>44499.9921875</v>
      </c>
      <c r="C338">
        <v>55.3</v>
      </c>
      <c r="D338" s="2">
        <v>3.8391203703703698E-2</v>
      </c>
      <c r="E338">
        <v>10.210000000000001</v>
      </c>
      <c r="F338" s="2">
        <v>3.7500000000000003E-3</v>
      </c>
      <c r="G338">
        <v>11.08</v>
      </c>
      <c r="H338">
        <v>13.18</v>
      </c>
      <c r="I338">
        <v>0</v>
      </c>
      <c r="J338">
        <v>0</v>
      </c>
      <c r="K338">
        <v>690</v>
      </c>
      <c r="L338" s="2">
        <v>3.6689814814814814E-3</v>
      </c>
      <c r="M338" s="2">
        <v>1.8831018518518518E-2</v>
      </c>
      <c r="N338" s="2">
        <v>3.8287037037037036E-2</v>
      </c>
      <c r="O338" s="2">
        <v>0</v>
      </c>
      <c r="P338" s="2">
        <v>0</v>
      </c>
    </row>
    <row r="339" spans="1:16" x14ac:dyDescent="0.3">
      <c r="A339" s="1">
        <v>44502.919571759259</v>
      </c>
      <c r="B339" s="1">
        <v>44502.957418981481</v>
      </c>
      <c r="C339">
        <v>54.5</v>
      </c>
      <c r="D339" s="2">
        <v>3.7835648148148153E-2</v>
      </c>
      <c r="E339">
        <v>12.542999999999999</v>
      </c>
      <c r="F339" s="2">
        <v>3.0092592592592588E-3</v>
      </c>
      <c r="G339">
        <v>13.81</v>
      </c>
      <c r="H339">
        <v>24.46</v>
      </c>
      <c r="I339">
        <v>173</v>
      </c>
      <c r="J339">
        <v>166</v>
      </c>
      <c r="K339">
        <v>784</v>
      </c>
      <c r="L339" s="2">
        <v>2.5810185185185185E-3</v>
      </c>
      <c r="M339" s="2">
        <v>1.4618055555555556E-2</v>
      </c>
      <c r="N339" s="2">
        <v>3.0034722222222223E-2</v>
      </c>
      <c r="O339" s="2">
        <v>0</v>
      </c>
      <c r="P339" s="2">
        <v>0</v>
      </c>
    </row>
    <row r="340" spans="1:16" x14ac:dyDescent="0.3">
      <c r="A340" s="1">
        <v>44505.252025462964</v>
      </c>
      <c r="B340" s="1">
        <v>44505.31490740741</v>
      </c>
      <c r="C340">
        <v>89.9</v>
      </c>
      <c r="D340" s="2">
        <v>6.2418981481481478E-2</v>
      </c>
      <c r="E340">
        <v>17.786999999999999</v>
      </c>
      <c r="F340" s="2">
        <v>3.5069444444444445E-3</v>
      </c>
      <c r="G340">
        <v>11.87</v>
      </c>
      <c r="H340">
        <v>14.16</v>
      </c>
      <c r="I340">
        <v>0</v>
      </c>
      <c r="J340">
        <v>0</v>
      </c>
      <c r="K340">
        <v>1341</v>
      </c>
      <c r="L340" s="2">
        <v>3.1944444444444442E-3</v>
      </c>
      <c r="M340" s="2">
        <v>1.7002314814814814E-2</v>
      </c>
      <c r="N340" s="2">
        <v>3.4745370370370371E-2</v>
      </c>
      <c r="O340" s="2">
        <v>0</v>
      </c>
      <c r="P340" s="2">
        <v>0</v>
      </c>
    </row>
    <row r="341" spans="1:16" x14ac:dyDescent="0.3">
      <c r="A341" s="1">
        <v>44506.843692129631</v>
      </c>
      <c r="B341" s="1">
        <v>44506.847557870373</v>
      </c>
      <c r="C341">
        <v>5.57</v>
      </c>
      <c r="D341" s="2">
        <v>3.8541666666666668E-3</v>
      </c>
      <c r="E341">
        <v>1.0589999999999999</v>
      </c>
      <c r="F341" s="2">
        <v>3.645833333333333E-3</v>
      </c>
      <c r="G341">
        <v>11.41</v>
      </c>
      <c r="H341">
        <v>15.71</v>
      </c>
      <c r="I341">
        <v>173</v>
      </c>
      <c r="J341">
        <v>165</v>
      </c>
      <c r="K341">
        <v>77</v>
      </c>
      <c r="L341" s="2">
        <v>3.6226851851851854E-3</v>
      </c>
      <c r="M341" s="2">
        <v>0</v>
      </c>
      <c r="N341" s="2">
        <v>0</v>
      </c>
      <c r="O341" s="2">
        <v>0</v>
      </c>
      <c r="P341" s="2">
        <v>0</v>
      </c>
    </row>
    <row r="342" spans="1:16" x14ac:dyDescent="0.3">
      <c r="A342" s="1">
        <v>44506.925104166665</v>
      </c>
      <c r="B342" s="1">
        <v>44506.955428240741</v>
      </c>
      <c r="C342">
        <v>43.67</v>
      </c>
      <c r="D342" s="2">
        <v>3.0312499999999996E-2</v>
      </c>
      <c r="E342">
        <v>8.0429999999999993</v>
      </c>
      <c r="F342" s="2">
        <v>3.7615740740740739E-3</v>
      </c>
      <c r="G342">
        <v>11.05</v>
      </c>
      <c r="H342">
        <v>14</v>
      </c>
      <c r="I342">
        <v>0</v>
      </c>
      <c r="J342">
        <v>0</v>
      </c>
      <c r="K342">
        <v>619</v>
      </c>
      <c r="L342" s="2">
        <v>3.5648148148148154E-3</v>
      </c>
      <c r="M342" s="2">
        <v>1.8483796296296297E-2</v>
      </c>
      <c r="N342" s="2">
        <v>0</v>
      </c>
      <c r="O342" s="2">
        <v>0</v>
      </c>
      <c r="P342" s="2">
        <v>0</v>
      </c>
    </row>
    <row r="343" spans="1:16" x14ac:dyDescent="0.3">
      <c r="A343" s="1">
        <v>44509.862291666665</v>
      </c>
      <c r="B343" s="1">
        <v>44509.90934027778</v>
      </c>
      <c r="C343">
        <v>67.75</v>
      </c>
      <c r="D343" s="2">
        <v>4.7037037037037037E-2</v>
      </c>
      <c r="E343">
        <v>13.939</v>
      </c>
      <c r="F343" s="2">
        <v>3.3680555555555551E-3</v>
      </c>
      <c r="G343">
        <v>12.34</v>
      </c>
      <c r="H343">
        <v>23.56</v>
      </c>
      <c r="I343">
        <v>166</v>
      </c>
      <c r="J343">
        <v>153</v>
      </c>
      <c r="K343">
        <v>965</v>
      </c>
      <c r="L343" s="2">
        <v>2.9513888888888888E-3</v>
      </c>
      <c r="M343" s="2">
        <v>1.6527777777777777E-2</v>
      </c>
      <c r="N343" s="2">
        <v>3.3564814814814818E-2</v>
      </c>
      <c r="O343" s="2">
        <v>0</v>
      </c>
      <c r="P343" s="2">
        <v>0</v>
      </c>
    </row>
    <row r="344" spans="1:16" x14ac:dyDescent="0.3">
      <c r="A344" s="1">
        <v>44512.274687500001</v>
      </c>
      <c r="B344" s="1">
        <v>44512.288877314815</v>
      </c>
      <c r="C344">
        <v>20.45</v>
      </c>
      <c r="D344" s="2">
        <v>1.4189814814814815E-2</v>
      </c>
      <c r="E344">
        <v>5.125</v>
      </c>
      <c r="F344" s="2">
        <v>2.7662037037037034E-3</v>
      </c>
      <c r="G344">
        <v>15.04</v>
      </c>
      <c r="H344">
        <v>17.97</v>
      </c>
      <c r="I344">
        <v>199</v>
      </c>
      <c r="J344">
        <v>154</v>
      </c>
      <c r="K344">
        <v>301</v>
      </c>
      <c r="L344" s="2">
        <v>2.673611111111111E-3</v>
      </c>
      <c r="M344" s="2">
        <v>1.3784722222222224E-2</v>
      </c>
      <c r="N344" s="2">
        <v>0</v>
      </c>
      <c r="O344" s="2">
        <v>0</v>
      </c>
      <c r="P344" s="2">
        <v>0</v>
      </c>
    </row>
    <row r="345" spans="1:16" x14ac:dyDescent="0.3">
      <c r="A345" s="1">
        <v>44513.841458333336</v>
      </c>
      <c r="B345" s="1">
        <v>44513.846053240741</v>
      </c>
      <c r="C345">
        <v>6.62</v>
      </c>
      <c r="D345" s="2">
        <v>4.5833333333333334E-3</v>
      </c>
      <c r="E345">
        <v>1.218</v>
      </c>
      <c r="F345" s="2">
        <v>3.7615740740740739E-3</v>
      </c>
      <c r="G345">
        <v>11.04</v>
      </c>
      <c r="H345">
        <v>13.3</v>
      </c>
      <c r="I345">
        <v>155</v>
      </c>
      <c r="J345">
        <v>149</v>
      </c>
      <c r="K345">
        <v>100</v>
      </c>
      <c r="L345" s="2">
        <v>3.7152777777777774E-3</v>
      </c>
      <c r="M345" s="2">
        <v>0</v>
      </c>
      <c r="N345" s="2">
        <v>0</v>
      </c>
      <c r="O345" s="2">
        <v>0</v>
      </c>
      <c r="P345" s="2">
        <v>0</v>
      </c>
    </row>
    <row r="346" spans="1:16" x14ac:dyDescent="0.3">
      <c r="A346" s="1">
        <v>44513.89366898148</v>
      </c>
      <c r="B346" s="1">
        <v>44513.93886574074</v>
      </c>
      <c r="C346">
        <v>65.09</v>
      </c>
      <c r="D346" s="2">
        <v>4.5196759259259256E-2</v>
      </c>
      <c r="E346">
        <v>12.233000000000001</v>
      </c>
      <c r="F346" s="2">
        <v>3.6921296296296298E-3</v>
      </c>
      <c r="G346">
        <v>11.28</v>
      </c>
      <c r="H346">
        <v>18.27</v>
      </c>
      <c r="I346">
        <v>175</v>
      </c>
      <c r="J346">
        <v>152</v>
      </c>
      <c r="K346">
        <v>909</v>
      </c>
      <c r="L346" s="2">
        <v>3.414351851851852E-3</v>
      </c>
      <c r="M346" s="2">
        <v>1.7800925925925925E-2</v>
      </c>
      <c r="N346" s="2">
        <v>3.6597222222222225E-2</v>
      </c>
      <c r="O346" s="2">
        <v>0</v>
      </c>
      <c r="P346" s="2">
        <v>0</v>
      </c>
    </row>
    <row r="347" spans="1:16" x14ac:dyDescent="0.3">
      <c r="A347" s="1">
        <v>44517.582557870373</v>
      </c>
      <c r="B347" s="1">
        <v>44517.666585648149</v>
      </c>
      <c r="C347">
        <v>118.71</v>
      </c>
      <c r="D347" s="2">
        <v>8.2430555555555562E-2</v>
      </c>
      <c r="E347">
        <v>23.1</v>
      </c>
      <c r="F347" s="2">
        <v>3.5648148148148154E-3</v>
      </c>
      <c r="G347">
        <v>11.68</v>
      </c>
      <c r="H347">
        <v>15.99</v>
      </c>
      <c r="I347">
        <v>190</v>
      </c>
      <c r="J347">
        <v>168</v>
      </c>
      <c r="K347">
        <v>1809</v>
      </c>
      <c r="L347" s="2">
        <v>3.2523148148148151E-3</v>
      </c>
      <c r="M347" s="2">
        <v>1.6944444444444443E-2</v>
      </c>
      <c r="N347" s="2">
        <v>3.4583333333333334E-2</v>
      </c>
      <c r="O347" s="2">
        <v>7.4907407407407409E-2</v>
      </c>
      <c r="P347" s="2">
        <v>0</v>
      </c>
    </row>
    <row r="348" spans="1:16" x14ac:dyDescent="0.3">
      <c r="A348" s="1">
        <v>44521.735335648147</v>
      </c>
      <c r="B348" s="1">
        <v>44521.788761574076</v>
      </c>
      <c r="C348">
        <v>76.86</v>
      </c>
      <c r="D348" s="2">
        <v>5.3368055555555551E-2</v>
      </c>
      <c r="E348">
        <v>16.213999999999999</v>
      </c>
      <c r="F348" s="2">
        <v>3.2870370370370367E-3</v>
      </c>
      <c r="G348">
        <v>12.66</v>
      </c>
      <c r="H348">
        <v>21.06</v>
      </c>
      <c r="I348">
        <v>178</v>
      </c>
      <c r="J348">
        <v>158</v>
      </c>
      <c r="K348">
        <v>1128</v>
      </c>
      <c r="L348" s="2">
        <v>3.1018518518518522E-3</v>
      </c>
      <c r="M348" s="2">
        <v>1.5995370370370372E-2</v>
      </c>
      <c r="N348" s="2">
        <v>3.2141203703703707E-2</v>
      </c>
      <c r="O348" s="2">
        <v>0</v>
      </c>
      <c r="P348" s="2">
        <v>0</v>
      </c>
    </row>
    <row r="349" spans="1:16" x14ac:dyDescent="0.3">
      <c r="A349" s="1">
        <v>44523.83697916667</v>
      </c>
      <c r="B349" s="1">
        <v>44523.873124999998</v>
      </c>
      <c r="C349">
        <v>52.06</v>
      </c>
      <c r="D349" s="2">
        <v>3.6145833333333328E-2</v>
      </c>
      <c r="E349">
        <v>10.013999999999999</v>
      </c>
      <c r="F349" s="2">
        <v>3.5995370370370369E-3</v>
      </c>
      <c r="G349">
        <v>11.54</v>
      </c>
      <c r="H349">
        <v>12.87</v>
      </c>
      <c r="I349">
        <v>0</v>
      </c>
      <c r="J349">
        <v>0</v>
      </c>
      <c r="K349">
        <v>828</v>
      </c>
      <c r="L349" s="2">
        <v>3.3449074074074071E-3</v>
      </c>
      <c r="M349" s="2">
        <v>1.741898148148148E-2</v>
      </c>
      <c r="N349" s="2">
        <v>3.6122685185185181E-2</v>
      </c>
      <c r="O349" s="2">
        <v>0</v>
      </c>
      <c r="P349" s="2">
        <v>0</v>
      </c>
    </row>
    <row r="350" spans="1:16" x14ac:dyDescent="0.3">
      <c r="A350" s="1">
        <v>44526.607569444444</v>
      </c>
      <c r="B350" s="1">
        <v>44526.638368055559</v>
      </c>
      <c r="C350">
        <v>44.35</v>
      </c>
      <c r="D350" s="2">
        <v>3.079861111111111E-2</v>
      </c>
      <c r="E350">
        <v>10.092000000000001</v>
      </c>
      <c r="F350" s="2">
        <v>3.0439814814814821E-3</v>
      </c>
      <c r="G350">
        <v>13.65</v>
      </c>
      <c r="H350">
        <v>15.55</v>
      </c>
      <c r="I350">
        <v>171</v>
      </c>
      <c r="J350">
        <v>159</v>
      </c>
      <c r="K350">
        <v>682</v>
      </c>
      <c r="L350" s="2">
        <v>2.8587962962962963E-3</v>
      </c>
      <c r="M350" s="2">
        <v>1.5104166666666667E-2</v>
      </c>
      <c r="N350" s="2">
        <v>3.050925925925926E-2</v>
      </c>
      <c r="O350" s="2">
        <v>0</v>
      </c>
      <c r="P350" s="2">
        <v>0</v>
      </c>
    </row>
    <row r="351" spans="1:16" x14ac:dyDescent="0.3">
      <c r="A351" s="1">
        <v>44527.819733796299</v>
      </c>
      <c r="B351" s="1">
        <v>44527.856354166666</v>
      </c>
      <c r="C351">
        <v>52.74</v>
      </c>
      <c r="D351" s="2">
        <v>3.6620370370370373E-2</v>
      </c>
      <c r="E351">
        <v>10.090999999999999</v>
      </c>
      <c r="F351" s="2">
        <v>3.6226851851851854E-3</v>
      </c>
      <c r="G351">
        <v>11.48</v>
      </c>
      <c r="H351">
        <v>13.1</v>
      </c>
      <c r="I351">
        <v>179</v>
      </c>
      <c r="J351">
        <v>148</v>
      </c>
      <c r="K351">
        <v>756</v>
      </c>
      <c r="L351" s="2">
        <v>3.425925925925926E-3</v>
      </c>
      <c r="M351" s="2">
        <v>1.7708333333333333E-2</v>
      </c>
      <c r="N351" s="2">
        <v>3.6342592592592593E-2</v>
      </c>
      <c r="O351" s="2">
        <v>0</v>
      </c>
      <c r="P351" s="2">
        <v>0</v>
      </c>
    </row>
    <row r="352" spans="1:16" x14ac:dyDescent="0.3">
      <c r="A352" s="1">
        <v>44530.887800925928</v>
      </c>
      <c r="B352" s="1">
        <v>44530.923101851855</v>
      </c>
      <c r="C352">
        <v>49.71</v>
      </c>
      <c r="D352" s="2">
        <v>3.4513888888888893E-2</v>
      </c>
      <c r="E352">
        <v>11.148999999999999</v>
      </c>
      <c r="F352" s="2">
        <v>3.0902777777777782E-3</v>
      </c>
      <c r="G352">
        <v>13.46</v>
      </c>
      <c r="H352">
        <v>20.79</v>
      </c>
      <c r="I352">
        <v>175</v>
      </c>
      <c r="J352">
        <v>154</v>
      </c>
      <c r="K352">
        <v>761</v>
      </c>
      <c r="L352" s="2">
        <v>2.9166666666666668E-3</v>
      </c>
      <c r="M352" s="2">
        <v>1.5219907407407409E-2</v>
      </c>
      <c r="N352" s="2">
        <v>3.0624999999999999E-2</v>
      </c>
      <c r="O352" s="2">
        <v>0</v>
      </c>
      <c r="P352" s="2">
        <v>0</v>
      </c>
    </row>
    <row r="353" spans="1:16" x14ac:dyDescent="0.3">
      <c r="A353" s="1">
        <v>44534.866944444446</v>
      </c>
      <c r="B353" s="1">
        <v>44534.913124999999</v>
      </c>
      <c r="C353">
        <v>66.510000000000005</v>
      </c>
      <c r="D353" s="2">
        <v>4.6180555555555558E-2</v>
      </c>
      <c r="E353">
        <v>13.106999999999999</v>
      </c>
      <c r="F353" s="2">
        <v>3.5185185185185185E-3</v>
      </c>
      <c r="G353">
        <v>11.82</v>
      </c>
      <c r="H353">
        <v>14.44</v>
      </c>
      <c r="I353">
        <v>162</v>
      </c>
      <c r="J353">
        <v>153</v>
      </c>
      <c r="K353">
        <v>970</v>
      </c>
      <c r="L353" s="2">
        <v>3.3333333333333335E-3</v>
      </c>
      <c r="M353" s="2">
        <v>1.7349537037037038E-2</v>
      </c>
      <c r="N353" s="2">
        <v>3.4976851851851849E-2</v>
      </c>
      <c r="O353" s="2">
        <v>0</v>
      </c>
      <c r="P353" s="2">
        <v>0</v>
      </c>
    </row>
    <row r="354" spans="1:16" x14ac:dyDescent="0.3">
      <c r="A354" s="1">
        <v>44536.862858796296</v>
      </c>
      <c r="B354" s="1">
        <v>44536.898587962962</v>
      </c>
      <c r="C354">
        <v>51.45</v>
      </c>
      <c r="D354" s="2">
        <v>3.5729166666666666E-2</v>
      </c>
      <c r="E354">
        <v>10.032</v>
      </c>
      <c r="F354" s="2">
        <v>3.5532407407407405E-3</v>
      </c>
      <c r="G354">
        <v>11.7</v>
      </c>
      <c r="H354">
        <v>13.4</v>
      </c>
      <c r="I354">
        <v>154</v>
      </c>
      <c r="J354">
        <v>136</v>
      </c>
      <c r="K354">
        <v>722</v>
      </c>
      <c r="L354" s="2">
        <v>3.3449074074074071E-3</v>
      </c>
      <c r="M354" s="2">
        <v>1.7349537037037038E-2</v>
      </c>
      <c r="N354" s="2">
        <v>3.5624999999999997E-2</v>
      </c>
      <c r="O354" s="2">
        <v>0</v>
      </c>
      <c r="P354" s="2">
        <v>0</v>
      </c>
    </row>
    <row r="355" spans="1:16" x14ac:dyDescent="0.3">
      <c r="A355" s="1">
        <v>44540.261377314811</v>
      </c>
      <c r="B355" s="1">
        <v>44540.293969907405</v>
      </c>
      <c r="C355">
        <v>46.94</v>
      </c>
      <c r="D355" s="2">
        <v>3.259259259259259E-2</v>
      </c>
      <c r="E355">
        <v>10.055999999999999</v>
      </c>
      <c r="F355" s="2">
        <v>3.2407407407407406E-3</v>
      </c>
      <c r="G355">
        <v>12.85</v>
      </c>
      <c r="H355">
        <v>14.38</v>
      </c>
      <c r="I355">
        <v>179</v>
      </c>
      <c r="J355">
        <v>157</v>
      </c>
      <c r="K355">
        <v>731</v>
      </c>
      <c r="L355" s="2">
        <v>3.1249999999999997E-3</v>
      </c>
      <c r="M355" s="2">
        <v>1.6041666666666666E-2</v>
      </c>
      <c r="N355" s="2">
        <v>3.2384259259259258E-2</v>
      </c>
      <c r="O355" s="2">
        <v>0</v>
      </c>
      <c r="P355" s="2">
        <v>0</v>
      </c>
    </row>
    <row r="356" spans="1:16" x14ac:dyDescent="0.3">
      <c r="A356" s="1">
        <v>44541.885104166664</v>
      </c>
      <c r="B356" s="1">
        <v>44541.922777777778</v>
      </c>
      <c r="C356">
        <v>54.25</v>
      </c>
      <c r="D356" s="2">
        <v>3.7673611111111109E-2</v>
      </c>
      <c r="E356">
        <v>10.35</v>
      </c>
      <c r="F356" s="2">
        <v>3.6342592592592594E-3</v>
      </c>
      <c r="G356">
        <v>11.45</v>
      </c>
      <c r="H356">
        <v>14.78</v>
      </c>
      <c r="I356">
        <v>168</v>
      </c>
      <c r="J356">
        <v>151</v>
      </c>
      <c r="K356">
        <v>790</v>
      </c>
      <c r="L356" s="2">
        <v>3.414351851851852E-3</v>
      </c>
      <c r="M356" s="2">
        <v>1.7951388888888888E-2</v>
      </c>
      <c r="N356" s="2">
        <v>3.636574074074074E-2</v>
      </c>
      <c r="O356" s="2">
        <v>0</v>
      </c>
      <c r="P356" s="2">
        <v>0</v>
      </c>
    </row>
    <row r="357" spans="1:16" x14ac:dyDescent="0.3">
      <c r="A357" s="1">
        <v>44545.868530092594</v>
      </c>
      <c r="B357" s="1">
        <v>44545.903761574074</v>
      </c>
      <c r="C357">
        <v>50.74</v>
      </c>
      <c r="D357" s="2">
        <v>3.5231481481481482E-2</v>
      </c>
      <c r="E357">
        <v>10.167999999999999</v>
      </c>
      <c r="F357" s="2">
        <v>3.4606481481481485E-3</v>
      </c>
      <c r="G357">
        <v>12.02</v>
      </c>
      <c r="H357">
        <v>15.35</v>
      </c>
      <c r="I357">
        <v>152</v>
      </c>
      <c r="J357">
        <v>135</v>
      </c>
      <c r="K357">
        <v>710</v>
      </c>
      <c r="L357" s="2">
        <v>3.2407407407407406E-3</v>
      </c>
      <c r="M357" s="2">
        <v>1.6898148148148148E-2</v>
      </c>
      <c r="N357" s="2">
        <v>3.4629629629629628E-2</v>
      </c>
      <c r="O357" s="2">
        <v>0</v>
      </c>
      <c r="P357" s="2">
        <v>0</v>
      </c>
    </row>
    <row r="358" spans="1:16" x14ac:dyDescent="0.3">
      <c r="A358" s="1">
        <v>44554.595937500002</v>
      </c>
      <c r="B358" s="1">
        <v>44554.633680555555</v>
      </c>
      <c r="C358">
        <v>54.36</v>
      </c>
      <c r="D358" s="2">
        <v>3.7743055555555557E-2</v>
      </c>
      <c r="E358">
        <v>11.11</v>
      </c>
      <c r="F358" s="2">
        <v>3.3912037037037036E-3</v>
      </c>
      <c r="G358">
        <v>12.26</v>
      </c>
      <c r="H358">
        <v>25.63</v>
      </c>
      <c r="I358">
        <v>170</v>
      </c>
      <c r="J358">
        <v>157</v>
      </c>
      <c r="K358">
        <v>851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</row>
    <row r="359" spans="1:16" x14ac:dyDescent="0.3">
      <c r="A359" s="1">
        <v>44555.868750000001</v>
      </c>
      <c r="B359" s="1">
        <v>44555.912314814814</v>
      </c>
      <c r="C359">
        <v>62.75</v>
      </c>
      <c r="D359" s="2">
        <v>4.3564814814814813E-2</v>
      </c>
      <c r="E359">
        <v>13.053000000000001</v>
      </c>
      <c r="F359" s="2">
        <v>3.3333333333333335E-3</v>
      </c>
      <c r="G359">
        <v>12.48</v>
      </c>
      <c r="H359">
        <v>14.64</v>
      </c>
      <c r="I359">
        <v>174</v>
      </c>
      <c r="J359">
        <v>159</v>
      </c>
      <c r="K359">
        <v>988</v>
      </c>
      <c r="L359" s="2">
        <v>3.0439814814814821E-3</v>
      </c>
      <c r="M359" s="2">
        <v>1.5925925925925927E-2</v>
      </c>
      <c r="N359" s="2">
        <v>3.2986111111111112E-2</v>
      </c>
      <c r="O359" s="2">
        <v>0</v>
      </c>
      <c r="P359" s="2">
        <v>0</v>
      </c>
    </row>
    <row r="360" spans="1:16" x14ac:dyDescent="0.3">
      <c r="A360" s="1">
        <v>44561.565011574072</v>
      </c>
      <c r="B360" s="1">
        <v>44561.60560185185</v>
      </c>
      <c r="C360">
        <v>58.39</v>
      </c>
      <c r="D360" s="2">
        <v>4.0543981481481479E-2</v>
      </c>
      <c r="E360">
        <v>11.37</v>
      </c>
      <c r="F360" s="2">
        <v>3.5648148148148154E-3</v>
      </c>
      <c r="G360">
        <v>11.68</v>
      </c>
      <c r="H360">
        <v>12.9</v>
      </c>
      <c r="I360">
        <v>157</v>
      </c>
      <c r="J360">
        <v>143</v>
      </c>
      <c r="K360">
        <v>840</v>
      </c>
      <c r="L360" s="2">
        <v>3.37962962962963E-3</v>
      </c>
      <c r="M360" s="2">
        <v>1.744212962962963E-2</v>
      </c>
      <c r="N360" s="2">
        <v>3.5497685185185188E-2</v>
      </c>
      <c r="O360" s="2">
        <v>0</v>
      </c>
      <c r="P360" s="2">
        <v>0</v>
      </c>
    </row>
    <row r="361" spans="1:16" x14ac:dyDescent="0.3">
      <c r="A361" s="1">
        <v>44562.87877314815</v>
      </c>
      <c r="B361" s="1">
        <v>44562.919016203705</v>
      </c>
      <c r="C361">
        <v>57.22</v>
      </c>
      <c r="D361" s="2">
        <v>3.9733796296296302E-2</v>
      </c>
      <c r="E361">
        <v>11.319000000000001</v>
      </c>
      <c r="F361" s="2">
        <v>3.5069444444444445E-3</v>
      </c>
      <c r="G361">
        <v>11.87</v>
      </c>
      <c r="H361">
        <v>13.81</v>
      </c>
      <c r="I361">
        <v>169</v>
      </c>
      <c r="J361">
        <v>147</v>
      </c>
      <c r="K361">
        <v>874</v>
      </c>
      <c r="L361" s="2">
        <v>3.3449074074074071E-3</v>
      </c>
      <c r="M361" s="2">
        <v>1.7187499999999998E-2</v>
      </c>
      <c r="N361" s="2">
        <v>3.5069444444444445E-2</v>
      </c>
      <c r="O361" s="2">
        <v>0</v>
      </c>
      <c r="P361" s="2">
        <v>0</v>
      </c>
    </row>
    <row r="362" spans="1:16" x14ac:dyDescent="0.3">
      <c r="A362" s="1">
        <v>44564.330081018517</v>
      </c>
      <c r="B362" s="1">
        <v>44564.372337962966</v>
      </c>
      <c r="C362">
        <v>60.87</v>
      </c>
      <c r="D362" s="2">
        <v>4.2256944444444444E-2</v>
      </c>
      <c r="E362">
        <v>13.127000000000001</v>
      </c>
      <c r="F362" s="2">
        <v>3.2175925925925926E-3</v>
      </c>
      <c r="G362">
        <v>12.94</v>
      </c>
      <c r="H362">
        <v>18.68</v>
      </c>
      <c r="I362">
        <v>172</v>
      </c>
      <c r="J362">
        <v>160</v>
      </c>
      <c r="K362">
        <v>979</v>
      </c>
      <c r="L362" s="2">
        <v>3.0671296296296297E-3</v>
      </c>
      <c r="M362" s="2">
        <v>1.5844907407407408E-2</v>
      </c>
      <c r="N362" s="2">
        <v>3.2002314814814817E-2</v>
      </c>
      <c r="O362" s="2">
        <v>0</v>
      </c>
      <c r="P362" s="2">
        <v>0</v>
      </c>
    </row>
    <row r="363" spans="1:16" x14ac:dyDescent="0.3">
      <c r="A363" s="1">
        <v>44566.913483796299</v>
      </c>
      <c r="B363" s="1">
        <v>44566.952974537038</v>
      </c>
      <c r="C363">
        <v>56.88</v>
      </c>
      <c r="D363" s="2">
        <v>3.9490740740740743E-2</v>
      </c>
      <c r="E363">
        <v>12.355</v>
      </c>
      <c r="F363" s="2">
        <v>3.1944444444444442E-3</v>
      </c>
      <c r="G363">
        <v>13.03</v>
      </c>
      <c r="H363">
        <v>16.39</v>
      </c>
      <c r="I363">
        <v>171</v>
      </c>
      <c r="J363">
        <v>157</v>
      </c>
      <c r="K363">
        <v>893</v>
      </c>
      <c r="L363" s="2">
        <v>3.0208333333333333E-3</v>
      </c>
      <c r="M363" s="2">
        <v>1.5474537037037038E-2</v>
      </c>
      <c r="N363" s="2">
        <v>3.1782407407407405E-2</v>
      </c>
      <c r="O363" s="2">
        <v>0</v>
      </c>
      <c r="P363" s="2">
        <v>0</v>
      </c>
    </row>
    <row r="364" spans="1:16" x14ac:dyDescent="0.3">
      <c r="A364" s="1">
        <v>44567.979178240741</v>
      </c>
      <c r="B364" s="1">
        <v>44568.021319444444</v>
      </c>
      <c r="C364">
        <v>60.7</v>
      </c>
      <c r="D364" s="2">
        <v>4.2141203703703702E-2</v>
      </c>
      <c r="E364">
        <v>13.145</v>
      </c>
      <c r="F364" s="2">
        <v>3.2060185185185191E-3</v>
      </c>
      <c r="G364">
        <v>12.99</v>
      </c>
      <c r="H364">
        <v>14.41</v>
      </c>
      <c r="I364">
        <v>176</v>
      </c>
      <c r="J364">
        <v>162</v>
      </c>
      <c r="K364">
        <v>961</v>
      </c>
      <c r="L364" s="2">
        <v>3.1134259259259257E-3</v>
      </c>
      <c r="M364" s="2">
        <v>1.5844907407407408E-2</v>
      </c>
      <c r="N364" s="2">
        <v>3.1921296296296302E-2</v>
      </c>
      <c r="O364" s="2">
        <v>0</v>
      </c>
      <c r="P364" s="2">
        <v>0</v>
      </c>
    </row>
    <row r="365" spans="1:16" x14ac:dyDescent="0.3">
      <c r="A365" s="1">
        <v>44569.922777777778</v>
      </c>
      <c r="B365" s="1">
        <v>44569.989953703705</v>
      </c>
      <c r="C365">
        <v>96.68</v>
      </c>
      <c r="D365" s="2">
        <v>6.7129629629629636E-2</v>
      </c>
      <c r="E365">
        <v>21.539000000000001</v>
      </c>
      <c r="F365" s="2">
        <v>3.1134259259259257E-3</v>
      </c>
      <c r="G365">
        <v>13.37</v>
      </c>
      <c r="H365">
        <v>15.75</v>
      </c>
      <c r="I365">
        <v>178</v>
      </c>
      <c r="J365">
        <v>158</v>
      </c>
      <c r="K365">
        <v>1523</v>
      </c>
      <c r="L365" s="2">
        <v>2.8240740740740739E-3</v>
      </c>
      <c r="M365" s="2">
        <v>1.5069444444444443E-2</v>
      </c>
      <c r="N365" s="2">
        <v>3.0740740740740739E-2</v>
      </c>
      <c r="O365" s="2">
        <v>6.5682870370370364E-2</v>
      </c>
      <c r="P365" s="2">
        <v>0</v>
      </c>
    </row>
    <row r="366" spans="1:16" x14ac:dyDescent="0.3">
      <c r="A366" s="1">
        <v>44571.942175925928</v>
      </c>
      <c r="B366" s="1">
        <v>44571.978784722225</v>
      </c>
      <c r="C366">
        <v>52.73</v>
      </c>
      <c r="D366" s="2">
        <v>3.6608796296296299E-2</v>
      </c>
      <c r="E366">
        <v>11.334</v>
      </c>
      <c r="F366" s="2">
        <v>3.2291666666666666E-3</v>
      </c>
      <c r="G366">
        <v>12.9</v>
      </c>
      <c r="H366">
        <v>16.63</v>
      </c>
      <c r="I366">
        <v>174</v>
      </c>
      <c r="J366">
        <v>152</v>
      </c>
      <c r="K366">
        <v>790</v>
      </c>
      <c r="L366" s="2">
        <v>3.0439814814814821E-3</v>
      </c>
      <c r="M366" s="2">
        <v>1.577546296296296E-2</v>
      </c>
      <c r="N366" s="2">
        <v>3.2129629629629626E-2</v>
      </c>
      <c r="O366" s="2">
        <v>0</v>
      </c>
      <c r="P366" s="2">
        <v>0</v>
      </c>
    </row>
    <row r="367" spans="1:16" x14ac:dyDescent="0.3">
      <c r="A367" s="1">
        <v>44573.775937500002</v>
      </c>
      <c r="B367" s="1">
        <v>44573.811736111114</v>
      </c>
      <c r="C367">
        <v>51.56</v>
      </c>
      <c r="D367" s="2">
        <v>3.5798611111111107E-2</v>
      </c>
      <c r="E367">
        <v>10.045</v>
      </c>
      <c r="F367" s="2">
        <v>3.5532407407407405E-3</v>
      </c>
      <c r="G367">
        <v>11.69</v>
      </c>
      <c r="H367">
        <v>15.89</v>
      </c>
      <c r="I367">
        <v>167</v>
      </c>
      <c r="J367">
        <v>145</v>
      </c>
      <c r="K367">
        <v>750</v>
      </c>
      <c r="L367" s="2">
        <v>3.3449074074074071E-3</v>
      </c>
      <c r="M367" s="2">
        <v>1.7395833333333336E-2</v>
      </c>
      <c r="N367" s="2">
        <v>3.5671296296296298E-2</v>
      </c>
      <c r="O367" s="2">
        <v>0</v>
      </c>
      <c r="P367" s="2">
        <v>0</v>
      </c>
    </row>
    <row r="368" spans="1:16" x14ac:dyDescent="0.3">
      <c r="A368" s="1">
        <v>44574.984768518516</v>
      </c>
      <c r="B368" s="1">
        <v>44575.024398148147</v>
      </c>
      <c r="C368">
        <v>57.07</v>
      </c>
      <c r="D368" s="2">
        <v>3.9629629629629633E-2</v>
      </c>
      <c r="E368">
        <v>11.442</v>
      </c>
      <c r="F368" s="2">
        <v>3.4606481481481485E-3</v>
      </c>
      <c r="G368">
        <v>12.03</v>
      </c>
      <c r="H368">
        <v>14.38</v>
      </c>
      <c r="I368">
        <v>173</v>
      </c>
      <c r="J368">
        <v>156</v>
      </c>
      <c r="K368">
        <v>858</v>
      </c>
      <c r="L368" s="2">
        <v>3.3101851851851851E-3</v>
      </c>
      <c r="M368" s="2">
        <v>1.7210648148148149E-2</v>
      </c>
      <c r="N368" s="2">
        <v>3.4629629629629628E-2</v>
      </c>
      <c r="O368" s="2">
        <v>0</v>
      </c>
      <c r="P368" s="2">
        <v>0</v>
      </c>
    </row>
    <row r="369" spans="1:16" x14ac:dyDescent="0.3">
      <c r="A369" s="1">
        <v>44576.862430555557</v>
      </c>
      <c r="B369" s="1">
        <v>44576.917650462965</v>
      </c>
      <c r="C369">
        <v>79.53</v>
      </c>
      <c r="D369" s="2">
        <v>5.5219907407407405E-2</v>
      </c>
      <c r="E369">
        <v>16.082999999999998</v>
      </c>
      <c r="F369" s="2">
        <v>3.425925925925926E-3</v>
      </c>
      <c r="G369">
        <v>12.13</v>
      </c>
      <c r="H369">
        <v>14.24</v>
      </c>
      <c r="I369">
        <v>164</v>
      </c>
      <c r="J369">
        <v>151</v>
      </c>
      <c r="K369">
        <v>1168</v>
      </c>
      <c r="L369" s="2">
        <v>3.1249999999999997E-3</v>
      </c>
      <c r="M369" s="2">
        <v>1.6527777777777777E-2</v>
      </c>
      <c r="N369" s="2">
        <v>3.4004629629629628E-2</v>
      </c>
      <c r="O369" s="2">
        <v>0</v>
      </c>
      <c r="P369" s="2">
        <v>0</v>
      </c>
    </row>
    <row r="370" spans="1:16" x14ac:dyDescent="0.3">
      <c r="A370" s="1">
        <v>44578.794733796298</v>
      </c>
      <c r="B370" s="1">
        <v>44578.829282407409</v>
      </c>
      <c r="C370">
        <v>49.76</v>
      </c>
      <c r="D370" s="2">
        <v>3.4548611111111113E-2</v>
      </c>
      <c r="E370">
        <v>10.066000000000001</v>
      </c>
      <c r="F370" s="2">
        <v>3.425925925925926E-3</v>
      </c>
      <c r="G370">
        <v>12.14</v>
      </c>
      <c r="H370">
        <v>14.28</v>
      </c>
      <c r="I370">
        <v>166</v>
      </c>
      <c r="J370">
        <v>149</v>
      </c>
      <c r="K370">
        <v>747</v>
      </c>
      <c r="L370" s="2">
        <v>3.0787037037037037E-3</v>
      </c>
      <c r="M370" s="2">
        <v>1.6620370370370372E-2</v>
      </c>
      <c r="N370" s="2">
        <v>3.4374999999999996E-2</v>
      </c>
      <c r="O370" s="2">
        <v>0</v>
      </c>
      <c r="P370" s="2">
        <v>0</v>
      </c>
    </row>
    <row r="371" spans="1:16" x14ac:dyDescent="0.3">
      <c r="A371" s="1">
        <v>44579.904386574075</v>
      </c>
      <c r="B371" s="1">
        <v>44579.949629629627</v>
      </c>
      <c r="C371">
        <v>65.16</v>
      </c>
      <c r="D371" s="2">
        <v>4.5243055555555557E-2</v>
      </c>
      <c r="E371">
        <v>13.201000000000001</v>
      </c>
      <c r="F371" s="2">
        <v>3.425925925925926E-3</v>
      </c>
      <c r="G371">
        <v>12.16</v>
      </c>
      <c r="H371">
        <v>14.95</v>
      </c>
      <c r="I371">
        <v>162</v>
      </c>
      <c r="J371">
        <v>145</v>
      </c>
      <c r="K371">
        <v>945</v>
      </c>
      <c r="L371" s="2">
        <v>3.2060185185185191E-3</v>
      </c>
      <c r="M371" s="2">
        <v>1.6793981481481483E-2</v>
      </c>
      <c r="N371" s="2">
        <v>3.412037037037037E-2</v>
      </c>
      <c r="O371" s="2">
        <v>0</v>
      </c>
      <c r="P371" s="2">
        <v>0</v>
      </c>
    </row>
    <row r="372" spans="1:16" x14ac:dyDescent="0.3">
      <c r="A372" s="1">
        <v>44581.982002314813</v>
      </c>
      <c r="B372" s="1">
        <v>44582.019074074073</v>
      </c>
      <c r="C372">
        <v>52.62</v>
      </c>
      <c r="D372" s="2">
        <v>3.6539351851851851E-2</v>
      </c>
      <c r="E372">
        <v>10.579000000000001</v>
      </c>
      <c r="F372" s="2">
        <v>3.4490740740740745E-3</v>
      </c>
      <c r="G372">
        <v>12.06</v>
      </c>
      <c r="H372">
        <v>14.51</v>
      </c>
      <c r="I372">
        <v>174</v>
      </c>
      <c r="J372">
        <v>159</v>
      </c>
      <c r="K372">
        <v>798</v>
      </c>
      <c r="L372" s="2">
        <v>3.1249999999999997E-3</v>
      </c>
      <c r="M372" s="2">
        <v>1.6979166666666667E-2</v>
      </c>
      <c r="N372" s="2">
        <v>3.4456018518518518E-2</v>
      </c>
      <c r="O372" s="2">
        <v>0</v>
      </c>
      <c r="P372" s="2">
        <v>0</v>
      </c>
    </row>
    <row r="373" spans="1:16" x14ac:dyDescent="0.3">
      <c r="A373" s="1">
        <v>44583.914849537039</v>
      </c>
      <c r="B373" s="1">
        <v>44583.961076388892</v>
      </c>
      <c r="C373">
        <v>66.58</v>
      </c>
      <c r="D373" s="2">
        <v>4.6226851851851852E-2</v>
      </c>
      <c r="E373">
        <v>13.07</v>
      </c>
      <c r="F373" s="2">
        <v>3.530092592592592E-3</v>
      </c>
      <c r="G373">
        <v>11.78</v>
      </c>
      <c r="H373">
        <v>18.54</v>
      </c>
      <c r="I373">
        <v>169</v>
      </c>
      <c r="J373">
        <v>150</v>
      </c>
      <c r="K373">
        <v>975</v>
      </c>
      <c r="L373" s="2">
        <v>3.37962962962963E-3</v>
      </c>
      <c r="M373" s="2">
        <v>1.7337962962962961E-2</v>
      </c>
      <c r="N373" s="2">
        <v>3.5023148148148144E-2</v>
      </c>
      <c r="O373" s="2">
        <v>0</v>
      </c>
      <c r="P373" s="2">
        <v>0</v>
      </c>
    </row>
    <row r="374" spans="1:16" x14ac:dyDescent="0.3">
      <c r="A374" s="1">
        <v>44586.874606481484</v>
      </c>
      <c r="B374" s="1">
        <v>44586.933912037035</v>
      </c>
      <c r="C374">
        <v>85.42</v>
      </c>
      <c r="D374" s="2">
        <v>5.9305555555555556E-2</v>
      </c>
      <c r="E374">
        <v>16.713999999999999</v>
      </c>
      <c r="F374" s="2">
        <v>3.5416666666666665E-3</v>
      </c>
      <c r="G374">
        <v>11.74</v>
      </c>
      <c r="H374">
        <v>14.31</v>
      </c>
      <c r="I374">
        <v>166</v>
      </c>
      <c r="J374">
        <v>147</v>
      </c>
      <c r="K374">
        <v>1226</v>
      </c>
      <c r="L374" s="2">
        <v>3.3333333333333335E-3</v>
      </c>
      <c r="M374" s="2">
        <v>1.7372685185185185E-2</v>
      </c>
      <c r="N374" s="2">
        <v>3.5046296296296298E-2</v>
      </c>
      <c r="O374" s="2">
        <v>0</v>
      </c>
      <c r="P374" s="2">
        <v>0</v>
      </c>
    </row>
    <row r="375" spans="1:16" x14ac:dyDescent="0.3">
      <c r="A375" s="1">
        <v>44588.998495370368</v>
      </c>
      <c r="B375" s="1">
        <v>44589.015729166669</v>
      </c>
      <c r="C375">
        <v>24.83</v>
      </c>
      <c r="D375" s="2">
        <v>1.7233796296296296E-2</v>
      </c>
      <c r="E375">
        <v>5.0220000000000002</v>
      </c>
      <c r="F375" s="2">
        <v>3.425925925925926E-3</v>
      </c>
      <c r="G375">
        <v>12.13</v>
      </c>
      <c r="H375">
        <v>14.78</v>
      </c>
      <c r="I375">
        <v>173</v>
      </c>
      <c r="J375">
        <v>160</v>
      </c>
      <c r="K375">
        <v>389</v>
      </c>
      <c r="L375" s="2">
        <v>3.2407407407407406E-3</v>
      </c>
      <c r="M375" s="2">
        <v>1.7175925925925924E-2</v>
      </c>
      <c r="N375" s="2">
        <v>0</v>
      </c>
      <c r="O375" s="2">
        <v>0</v>
      </c>
      <c r="P375" s="2">
        <v>0</v>
      </c>
    </row>
    <row r="376" spans="1:16" x14ac:dyDescent="0.3">
      <c r="A376" s="1">
        <v>44590.905810185184</v>
      </c>
      <c r="B376" s="1">
        <v>44590.953935185185</v>
      </c>
      <c r="C376">
        <v>69.31</v>
      </c>
      <c r="D376" s="2">
        <v>4.8125000000000001E-2</v>
      </c>
      <c r="E376">
        <v>14.254</v>
      </c>
      <c r="F376" s="2">
        <v>3.3680555555555551E-3</v>
      </c>
      <c r="G376">
        <v>12.34</v>
      </c>
      <c r="H376">
        <v>16.559999999999999</v>
      </c>
      <c r="I376">
        <v>172</v>
      </c>
      <c r="J376">
        <v>158</v>
      </c>
      <c r="K376">
        <v>1056</v>
      </c>
      <c r="L376" s="2">
        <v>3.1249999999999997E-3</v>
      </c>
      <c r="M376" s="2">
        <v>1.6458333333333332E-2</v>
      </c>
      <c r="N376" s="2">
        <v>3.3368055555555554E-2</v>
      </c>
      <c r="O376" s="2">
        <v>0</v>
      </c>
      <c r="P376" s="2">
        <v>0</v>
      </c>
    </row>
    <row r="377" spans="1:16" x14ac:dyDescent="0.3">
      <c r="A377" s="1">
        <v>44593.881643518522</v>
      </c>
      <c r="B377" s="1">
        <v>44593.918877314813</v>
      </c>
      <c r="C377">
        <v>53.63</v>
      </c>
      <c r="D377" s="2">
        <v>3.72337962962963E-2</v>
      </c>
      <c r="E377">
        <v>11.221</v>
      </c>
      <c r="F377" s="2">
        <v>3.3101851851851851E-3</v>
      </c>
      <c r="G377">
        <v>12.55</v>
      </c>
      <c r="H377">
        <v>16.16</v>
      </c>
      <c r="I377">
        <v>167</v>
      </c>
      <c r="J377">
        <v>151</v>
      </c>
      <c r="K377">
        <v>822</v>
      </c>
      <c r="L377" s="2">
        <v>3.0671296296296297E-3</v>
      </c>
      <c r="M377" s="2">
        <v>1.6157407407407409E-2</v>
      </c>
      <c r="N377" s="2">
        <v>3.2800925925925928E-2</v>
      </c>
      <c r="O377" s="2">
        <v>0</v>
      </c>
      <c r="P377" s="2">
        <v>0</v>
      </c>
    </row>
    <row r="378" spans="1:16" x14ac:dyDescent="0.3">
      <c r="A378" s="1">
        <v>44594.839212962965</v>
      </c>
      <c r="B378" s="1">
        <v>44594.875173611108</v>
      </c>
      <c r="C378">
        <v>51.79</v>
      </c>
      <c r="D378" s="2">
        <v>3.5960648148148151E-2</v>
      </c>
      <c r="E378">
        <v>10.061999999999999</v>
      </c>
      <c r="F378" s="2">
        <v>3.5648148148148154E-3</v>
      </c>
      <c r="G378">
        <v>11.66</v>
      </c>
      <c r="H378">
        <v>12.87</v>
      </c>
      <c r="I378">
        <v>181</v>
      </c>
      <c r="J378">
        <v>159</v>
      </c>
      <c r="K378">
        <v>782</v>
      </c>
      <c r="L378" s="2">
        <v>3.3333333333333335E-3</v>
      </c>
      <c r="M378" s="2">
        <v>1.7384259259259262E-2</v>
      </c>
      <c r="N378" s="2">
        <v>3.5752314814814813E-2</v>
      </c>
      <c r="O378" s="2">
        <v>0</v>
      </c>
      <c r="P378" s="2">
        <v>0</v>
      </c>
    </row>
    <row r="379" spans="1:16" x14ac:dyDescent="0.3">
      <c r="A379" s="1">
        <v>44597.874583333331</v>
      </c>
      <c r="B379" s="1">
        <v>44597.938344907408</v>
      </c>
      <c r="C379">
        <v>88.71</v>
      </c>
      <c r="D379" s="2">
        <v>6.159722222222222E-2</v>
      </c>
      <c r="E379">
        <v>18.329000000000001</v>
      </c>
      <c r="F379" s="2">
        <v>3.3564814814814811E-3</v>
      </c>
      <c r="G379">
        <v>12.4</v>
      </c>
      <c r="H379">
        <v>19.14</v>
      </c>
      <c r="I379">
        <v>170</v>
      </c>
      <c r="J379">
        <v>152</v>
      </c>
      <c r="K379">
        <v>1316</v>
      </c>
      <c r="L379" s="2">
        <v>3.1249999999999997E-3</v>
      </c>
      <c r="M379" s="2">
        <v>1.6493055555555556E-2</v>
      </c>
      <c r="N379" s="2">
        <v>3.3437500000000002E-2</v>
      </c>
      <c r="O379" s="2">
        <v>0</v>
      </c>
      <c r="P379" s="2">
        <v>0</v>
      </c>
    </row>
    <row r="380" spans="1:16" x14ac:dyDescent="0.3">
      <c r="A380" s="1">
        <v>44599.735497685186</v>
      </c>
      <c r="B380" s="1">
        <v>44599.761817129627</v>
      </c>
      <c r="C380">
        <v>32.54</v>
      </c>
      <c r="D380" s="2">
        <v>2.2592592592592591E-2</v>
      </c>
      <c r="E380">
        <v>6.4139999999999997</v>
      </c>
      <c r="F380" s="2">
        <v>3.5185185185185185E-3</v>
      </c>
      <c r="G380">
        <v>11.83</v>
      </c>
      <c r="H380">
        <v>18.78</v>
      </c>
      <c r="I380">
        <v>156</v>
      </c>
      <c r="J380">
        <v>132</v>
      </c>
      <c r="K380">
        <v>453</v>
      </c>
      <c r="L380" s="2">
        <v>2.7777777777777779E-3</v>
      </c>
      <c r="M380" s="2">
        <v>1.636574074074074E-2</v>
      </c>
      <c r="N380" s="2">
        <v>0</v>
      </c>
      <c r="O380" s="2">
        <v>0</v>
      </c>
      <c r="P380" s="2">
        <v>0</v>
      </c>
    </row>
    <row r="381" spans="1:16" x14ac:dyDescent="0.3">
      <c r="A381" s="1">
        <v>44600.856898148151</v>
      </c>
      <c r="B381" s="1">
        <v>44600.899444444447</v>
      </c>
      <c r="C381">
        <v>61.27</v>
      </c>
      <c r="D381" s="2">
        <v>4.2546296296296297E-2</v>
      </c>
      <c r="E381">
        <v>13.132999999999999</v>
      </c>
      <c r="F381" s="2">
        <v>3.2291666666666666E-3</v>
      </c>
      <c r="G381">
        <v>12.86</v>
      </c>
      <c r="H381">
        <v>16.36</v>
      </c>
      <c r="I381">
        <v>173</v>
      </c>
      <c r="J381">
        <v>150</v>
      </c>
      <c r="K381">
        <v>924</v>
      </c>
      <c r="L381" s="2">
        <v>2.8587962962962963E-3</v>
      </c>
      <c r="M381" s="2">
        <v>1.5613425925925926E-2</v>
      </c>
      <c r="N381" s="2">
        <v>3.2048611111111111E-2</v>
      </c>
      <c r="O381" s="2">
        <v>0</v>
      </c>
      <c r="P381" s="2">
        <v>0</v>
      </c>
    </row>
    <row r="382" spans="1:16" x14ac:dyDescent="0.3">
      <c r="A382" s="1">
        <v>44603.467789351853</v>
      </c>
      <c r="B382" s="1">
        <v>44603.511076388888</v>
      </c>
      <c r="C382">
        <v>62.34</v>
      </c>
      <c r="D382" s="2">
        <v>4.3287037037037041E-2</v>
      </c>
      <c r="E382">
        <v>12.563000000000001</v>
      </c>
      <c r="F382" s="2">
        <v>3.4375E-3</v>
      </c>
      <c r="G382">
        <v>12.09</v>
      </c>
      <c r="H382">
        <v>14.24</v>
      </c>
      <c r="I382">
        <v>165</v>
      </c>
      <c r="J382">
        <v>147</v>
      </c>
      <c r="K382">
        <v>925</v>
      </c>
      <c r="L382" s="2">
        <v>3.1828703703703702E-3</v>
      </c>
      <c r="M382" s="2">
        <v>1.667824074074074E-2</v>
      </c>
      <c r="N382" s="2">
        <v>3.3877314814814811E-2</v>
      </c>
      <c r="O382" s="2">
        <v>0</v>
      </c>
      <c r="P382" s="2">
        <v>0</v>
      </c>
    </row>
    <row r="383" spans="1:16" x14ac:dyDescent="0.3">
      <c r="A383" s="1">
        <v>44604.912731481483</v>
      </c>
      <c r="B383" s="1">
        <v>44604.948483796295</v>
      </c>
      <c r="C383">
        <v>51.5</v>
      </c>
      <c r="D383" s="2">
        <v>3.5752314814814813E-2</v>
      </c>
      <c r="E383">
        <v>10.119999999999999</v>
      </c>
      <c r="F383" s="2">
        <v>3.530092592592592E-3</v>
      </c>
      <c r="G383">
        <v>11.79</v>
      </c>
      <c r="H383">
        <v>13.17</v>
      </c>
      <c r="I383">
        <v>167</v>
      </c>
      <c r="J383">
        <v>152</v>
      </c>
      <c r="K383">
        <v>787</v>
      </c>
      <c r="L383" s="2">
        <v>3.3217592592592591E-3</v>
      </c>
      <c r="M383" s="2">
        <v>1.7222222222222222E-2</v>
      </c>
      <c r="N383" s="2">
        <v>3.5312500000000004E-2</v>
      </c>
      <c r="O383" s="2">
        <v>0</v>
      </c>
      <c r="P383" s="2">
        <v>0</v>
      </c>
    </row>
    <row r="384" spans="1:16" x14ac:dyDescent="0.3">
      <c r="A384" s="1">
        <v>44606.743009259262</v>
      </c>
      <c r="B384" s="1">
        <v>44606.769791666666</v>
      </c>
      <c r="C384">
        <v>37.799999999999997</v>
      </c>
      <c r="D384" s="2">
        <v>2.6238425925925925E-2</v>
      </c>
      <c r="E384">
        <v>7.6429999999999998</v>
      </c>
      <c r="F384" s="2">
        <v>3.425925925925926E-3</v>
      </c>
      <c r="G384">
        <v>12.13</v>
      </c>
      <c r="H384">
        <v>20.69</v>
      </c>
      <c r="I384">
        <v>174</v>
      </c>
      <c r="J384">
        <v>145</v>
      </c>
      <c r="K384">
        <v>536</v>
      </c>
      <c r="L384" s="2">
        <v>2.9513888888888888E-3</v>
      </c>
      <c r="M384" s="2">
        <v>1.5416666666666667E-2</v>
      </c>
      <c r="N384" s="2">
        <v>0</v>
      </c>
      <c r="O384" s="2">
        <v>0</v>
      </c>
      <c r="P384" s="2">
        <v>0</v>
      </c>
    </row>
    <row r="385" spans="1:16" x14ac:dyDescent="0.3">
      <c r="A385" s="1">
        <v>44607.858113425929</v>
      </c>
      <c r="B385" s="1">
        <v>44607.861828703702</v>
      </c>
      <c r="C385">
        <v>5.35</v>
      </c>
      <c r="D385" s="2">
        <v>3.7152777777777774E-3</v>
      </c>
      <c r="E385">
        <v>1.0880000000000001</v>
      </c>
      <c r="F385" s="2">
        <v>3.414351851851852E-3</v>
      </c>
      <c r="G385">
        <v>12.2</v>
      </c>
      <c r="H385">
        <v>12.8</v>
      </c>
      <c r="I385">
        <v>151</v>
      </c>
      <c r="J385">
        <v>140</v>
      </c>
      <c r="K385">
        <v>77</v>
      </c>
      <c r="L385" s="2">
        <v>3.3912037037037036E-3</v>
      </c>
      <c r="M385" s="2">
        <v>0</v>
      </c>
      <c r="N385" s="2">
        <v>0</v>
      </c>
      <c r="O385" s="2">
        <v>0</v>
      </c>
      <c r="P385" s="2">
        <v>0</v>
      </c>
    </row>
    <row r="386" spans="1:16" x14ac:dyDescent="0.3">
      <c r="A386" s="1">
        <v>44607.919085648151</v>
      </c>
      <c r="B386" s="1">
        <v>44607.956423611111</v>
      </c>
      <c r="C386">
        <v>53.78</v>
      </c>
      <c r="D386" s="2">
        <v>3.7337962962962962E-2</v>
      </c>
      <c r="E386">
        <v>10.62</v>
      </c>
      <c r="F386" s="2">
        <v>3.5069444444444445E-3</v>
      </c>
      <c r="G386">
        <v>11.85</v>
      </c>
      <c r="H386">
        <v>18.27</v>
      </c>
      <c r="I386">
        <v>162</v>
      </c>
      <c r="J386">
        <v>138</v>
      </c>
      <c r="K386">
        <v>749</v>
      </c>
      <c r="L386" s="2">
        <v>3.3101851851851851E-3</v>
      </c>
      <c r="M386" s="2">
        <v>1.7488425925925925E-2</v>
      </c>
      <c r="N386" s="2">
        <v>3.5196759259259254E-2</v>
      </c>
      <c r="O386" s="2">
        <v>0</v>
      </c>
      <c r="P386" s="2">
        <v>0</v>
      </c>
    </row>
    <row r="387" spans="1:16" x14ac:dyDescent="0.3">
      <c r="A387" s="1">
        <v>44609.972141203703</v>
      </c>
      <c r="B387" s="1">
        <v>44610.011319444442</v>
      </c>
      <c r="C387">
        <v>56.42</v>
      </c>
      <c r="D387" s="2">
        <v>3.9178240740740743E-2</v>
      </c>
      <c r="E387">
        <v>11.111000000000001</v>
      </c>
      <c r="F387" s="2">
        <v>3.5185185185185185E-3</v>
      </c>
      <c r="G387">
        <v>11.82</v>
      </c>
      <c r="H387">
        <v>13.84</v>
      </c>
      <c r="I387">
        <v>170</v>
      </c>
      <c r="J387">
        <v>152</v>
      </c>
      <c r="K387">
        <v>858</v>
      </c>
      <c r="L387" s="2">
        <v>3.3101851851851851E-3</v>
      </c>
      <c r="M387" s="2">
        <v>1.7175925925925924E-2</v>
      </c>
      <c r="N387" s="2">
        <v>3.4976851851851849E-2</v>
      </c>
      <c r="O387" s="2">
        <v>0</v>
      </c>
      <c r="P387" s="2">
        <v>0</v>
      </c>
    </row>
    <row r="388" spans="1:16" x14ac:dyDescent="0.3">
      <c r="A388" s="1">
        <v>44611.949699074074</v>
      </c>
      <c r="B388" s="1">
        <v>44611.986851851849</v>
      </c>
      <c r="C388">
        <v>53.51</v>
      </c>
      <c r="D388" s="2">
        <v>3.7152777777777778E-2</v>
      </c>
      <c r="E388">
        <v>10.375999999999999</v>
      </c>
      <c r="F388" s="2">
        <v>3.5763888888888894E-3</v>
      </c>
      <c r="G388">
        <v>11.63</v>
      </c>
      <c r="H388">
        <v>13.3</v>
      </c>
      <c r="I388">
        <v>160</v>
      </c>
      <c r="J388">
        <v>144</v>
      </c>
      <c r="K388">
        <v>798</v>
      </c>
      <c r="L388" s="2">
        <v>3.3217592592592591E-3</v>
      </c>
      <c r="M388" s="2">
        <v>1.7337962962962961E-2</v>
      </c>
      <c r="N388" s="2">
        <v>3.5763888888888887E-2</v>
      </c>
      <c r="O388" s="2">
        <v>0</v>
      </c>
      <c r="P388" s="2">
        <v>0</v>
      </c>
    </row>
    <row r="389" spans="1:16" x14ac:dyDescent="0.3">
      <c r="A389" s="1">
        <v>44613.733194444445</v>
      </c>
      <c r="B389" s="1">
        <v>44613.763761574075</v>
      </c>
      <c r="C389">
        <v>39.58</v>
      </c>
      <c r="D389" s="2">
        <v>2.7488425925925927E-2</v>
      </c>
      <c r="E389">
        <v>8.1880000000000006</v>
      </c>
      <c r="F389" s="2">
        <v>3.3564814814814811E-3</v>
      </c>
      <c r="G389">
        <v>12.41</v>
      </c>
      <c r="H389">
        <v>20.22</v>
      </c>
      <c r="I389">
        <v>156</v>
      </c>
      <c r="J389">
        <v>133</v>
      </c>
      <c r="K389">
        <v>578</v>
      </c>
      <c r="L389" s="2">
        <v>2.8587962962962963E-3</v>
      </c>
      <c r="M389" s="2">
        <v>1.5000000000000001E-2</v>
      </c>
      <c r="N389" s="2">
        <v>0</v>
      </c>
      <c r="O389" s="2">
        <v>0</v>
      </c>
      <c r="P389" s="2">
        <v>0</v>
      </c>
    </row>
    <row r="390" spans="1:16" x14ac:dyDescent="0.3">
      <c r="A390" s="1">
        <v>44614.838587962964</v>
      </c>
      <c r="B390" s="1">
        <v>44614.875115740739</v>
      </c>
      <c r="C390">
        <v>52.61</v>
      </c>
      <c r="D390" s="2">
        <v>3.6527777777777777E-2</v>
      </c>
      <c r="E390">
        <v>10.635999999999999</v>
      </c>
      <c r="F390" s="2">
        <v>3.425925925925926E-3</v>
      </c>
      <c r="G390">
        <v>12.13</v>
      </c>
      <c r="H390">
        <v>18.88</v>
      </c>
      <c r="I390">
        <v>165</v>
      </c>
      <c r="J390">
        <v>141</v>
      </c>
      <c r="K390">
        <v>771</v>
      </c>
      <c r="L390" s="2">
        <v>2.9398148148148148E-3</v>
      </c>
      <c r="M390" s="2">
        <v>1.6550925925925924E-2</v>
      </c>
      <c r="N390" s="2">
        <v>3.4166666666666672E-2</v>
      </c>
      <c r="O390" s="2">
        <v>0</v>
      </c>
      <c r="P390" s="2">
        <v>0</v>
      </c>
    </row>
    <row r="391" spans="1:16" x14ac:dyDescent="0.3">
      <c r="A391" s="1">
        <v>44617.24422453704</v>
      </c>
      <c r="B391" s="1">
        <v>44617.30945601852</v>
      </c>
      <c r="C391">
        <v>93.93</v>
      </c>
      <c r="D391" s="2">
        <v>6.5231481481481488E-2</v>
      </c>
      <c r="E391">
        <v>21.26</v>
      </c>
      <c r="F391" s="2">
        <v>3.0671296296296297E-3</v>
      </c>
      <c r="G391">
        <v>13.58</v>
      </c>
      <c r="H391">
        <v>17.43</v>
      </c>
      <c r="I391">
        <v>179</v>
      </c>
      <c r="J391">
        <v>159</v>
      </c>
      <c r="K391">
        <v>1542</v>
      </c>
      <c r="L391" s="2">
        <v>2.615740740740741E-3</v>
      </c>
      <c r="M391" s="2">
        <v>1.3969907407407408E-2</v>
      </c>
      <c r="N391" s="2">
        <v>2.8217592592592589E-2</v>
      </c>
      <c r="O391" s="2">
        <v>6.4710648148148142E-2</v>
      </c>
      <c r="P391" s="2">
        <v>0</v>
      </c>
    </row>
    <row r="392" spans="1:16" x14ac:dyDescent="0.3">
      <c r="A392" s="1">
        <v>44619.87903935185</v>
      </c>
      <c r="B392" s="1">
        <v>44619.916805555556</v>
      </c>
      <c r="C392">
        <v>54.39</v>
      </c>
      <c r="D392" s="2">
        <v>3.7766203703703705E-2</v>
      </c>
      <c r="E392">
        <v>10.058999999999999</v>
      </c>
      <c r="F392" s="2">
        <v>3.7500000000000003E-3</v>
      </c>
      <c r="G392">
        <v>11.1</v>
      </c>
      <c r="H392">
        <v>12.09</v>
      </c>
      <c r="I392">
        <v>143</v>
      </c>
      <c r="J392">
        <v>128</v>
      </c>
      <c r="K392">
        <v>732</v>
      </c>
      <c r="L392" s="2">
        <v>3.5879629629629629E-3</v>
      </c>
      <c r="M392" s="2">
        <v>1.8356481481481481E-2</v>
      </c>
      <c r="N392" s="2">
        <v>3.7557870370370373E-2</v>
      </c>
      <c r="O392" s="2">
        <v>0</v>
      </c>
      <c r="P392" s="2">
        <v>0</v>
      </c>
    </row>
    <row r="393" spans="1:16" x14ac:dyDescent="0.3">
      <c r="A393" s="1">
        <v>44620.735277777778</v>
      </c>
      <c r="B393" s="1">
        <v>44620.756412037037</v>
      </c>
      <c r="C393">
        <v>29.43</v>
      </c>
      <c r="D393" s="2">
        <v>2.0439814814814817E-2</v>
      </c>
      <c r="E393">
        <v>7.2629999999999999</v>
      </c>
      <c r="F393" s="2">
        <v>2.8124999999999995E-3</v>
      </c>
      <c r="G393">
        <v>14.81</v>
      </c>
      <c r="H393">
        <v>17.3</v>
      </c>
      <c r="I393">
        <v>179</v>
      </c>
      <c r="J393">
        <v>164</v>
      </c>
      <c r="K393">
        <v>517</v>
      </c>
      <c r="L393" s="2">
        <v>2.5347222222222221E-3</v>
      </c>
      <c r="M393" s="2">
        <v>1.3252314814814814E-2</v>
      </c>
      <c r="N393" s="2">
        <v>0</v>
      </c>
      <c r="O393" s="2">
        <v>0</v>
      </c>
      <c r="P393" s="2">
        <v>0</v>
      </c>
    </row>
    <row r="394" spans="1:16" x14ac:dyDescent="0.3">
      <c r="A394" s="1">
        <v>44621.89943287037</v>
      </c>
      <c r="B394" s="1">
        <v>44621.936041666668</v>
      </c>
      <c r="C394">
        <v>52.72</v>
      </c>
      <c r="D394" s="2">
        <v>3.6608796296296299E-2</v>
      </c>
      <c r="E394">
        <v>10.411</v>
      </c>
      <c r="F394" s="2">
        <v>3.5069444444444445E-3</v>
      </c>
      <c r="G394">
        <v>11.85</v>
      </c>
      <c r="H394">
        <v>15.58</v>
      </c>
      <c r="I394">
        <v>159</v>
      </c>
      <c r="J394">
        <v>136</v>
      </c>
      <c r="K394">
        <v>746</v>
      </c>
      <c r="L394" s="2">
        <v>3.3217592592592591E-3</v>
      </c>
      <c r="M394" s="2">
        <v>1.7361111111111112E-2</v>
      </c>
      <c r="N394" s="2">
        <v>3.5104166666666665E-2</v>
      </c>
      <c r="O394" s="2">
        <v>0</v>
      </c>
      <c r="P394" s="2">
        <v>0</v>
      </c>
    </row>
    <row r="395" spans="1:16" x14ac:dyDescent="0.3">
      <c r="A395" s="1">
        <v>44624.492094907408</v>
      </c>
      <c r="B395" s="1">
        <v>44624.523680555554</v>
      </c>
      <c r="C395">
        <v>45.49</v>
      </c>
      <c r="D395" s="2">
        <v>3.1585648148148147E-2</v>
      </c>
      <c r="E395">
        <v>10.515000000000001</v>
      </c>
      <c r="F395" s="2">
        <v>2.9976851851851848E-3</v>
      </c>
      <c r="G395">
        <v>13.87</v>
      </c>
      <c r="H395">
        <v>21.36</v>
      </c>
      <c r="I395">
        <v>177</v>
      </c>
      <c r="J395">
        <v>162</v>
      </c>
      <c r="K395">
        <v>763</v>
      </c>
      <c r="L395" s="2">
        <v>2.7777777777777779E-3</v>
      </c>
      <c r="M395" s="2">
        <v>1.4618055555555556E-2</v>
      </c>
      <c r="N395" s="2">
        <v>2.9837962962962965E-2</v>
      </c>
      <c r="O395" s="2">
        <v>0</v>
      </c>
      <c r="P395" s="2">
        <v>0</v>
      </c>
    </row>
    <row r="396" spans="1:16" x14ac:dyDescent="0.3">
      <c r="A396" s="1">
        <v>44625.940879629627</v>
      </c>
      <c r="B396" s="1">
        <v>44625.987627314818</v>
      </c>
      <c r="C396">
        <v>65.02</v>
      </c>
      <c r="D396" s="2">
        <v>4.5150462962962962E-2</v>
      </c>
      <c r="E396">
        <v>13.227</v>
      </c>
      <c r="F396" s="2">
        <v>3.4027777777777784E-3</v>
      </c>
      <c r="G396">
        <v>12.21</v>
      </c>
      <c r="H396">
        <v>16.059999999999999</v>
      </c>
      <c r="I396">
        <v>164</v>
      </c>
      <c r="J396">
        <v>146</v>
      </c>
      <c r="K396">
        <v>982</v>
      </c>
      <c r="L396" s="2">
        <v>3.1365740740740742E-3</v>
      </c>
      <c r="M396" s="2">
        <v>1.6643518518518519E-2</v>
      </c>
      <c r="N396" s="2">
        <v>3.3900462962962966E-2</v>
      </c>
      <c r="O396" s="2">
        <v>0</v>
      </c>
      <c r="P396" s="2">
        <v>0</v>
      </c>
    </row>
    <row r="397" spans="1:16" x14ac:dyDescent="0.3">
      <c r="A397" s="1">
        <v>44627.740057870367</v>
      </c>
      <c r="B397" s="1">
        <v>44627.759583333333</v>
      </c>
      <c r="C397">
        <v>22.43</v>
      </c>
      <c r="D397" s="2">
        <v>1.556712962962963E-2</v>
      </c>
      <c r="E397">
        <v>6.1050000000000004</v>
      </c>
      <c r="F397" s="2">
        <v>2.5462962962962961E-3</v>
      </c>
      <c r="G397">
        <v>16.329999999999998</v>
      </c>
      <c r="H397">
        <v>19.95</v>
      </c>
      <c r="I397">
        <v>181</v>
      </c>
      <c r="J397">
        <v>159</v>
      </c>
      <c r="K397">
        <v>382</v>
      </c>
      <c r="L397" s="2">
        <v>2.4652777777777776E-3</v>
      </c>
      <c r="M397" s="2">
        <v>1.2638888888888889E-2</v>
      </c>
      <c r="N397" s="2">
        <v>0</v>
      </c>
      <c r="O397" s="2">
        <v>0</v>
      </c>
      <c r="P397" s="2">
        <v>0</v>
      </c>
    </row>
    <row r="398" spans="1:16" x14ac:dyDescent="0.3">
      <c r="A398" s="1">
        <v>44628.889027777775</v>
      </c>
      <c r="B398" s="1">
        <v>44628.928599537037</v>
      </c>
      <c r="C398">
        <v>56.99</v>
      </c>
      <c r="D398" s="2">
        <v>3.9571759259259258E-2</v>
      </c>
      <c r="E398">
        <v>11.112</v>
      </c>
      <c r="F398" s="2">
        <v>3.5532407407407405E-3</v>
      </c>
      <c r="G398">
        <v>11.7</v>
      </c>
      <c r="H398">
        <v>16.73</v>
      </c>
      <c r="I398">
        <v>158</v>
      </c>
      <c r="J398">
        <v>141</v>
      </c>
      <c r="K398">
        <v>813</v>
      </c>
      <c r="L398" s="2">
        <v>3.2870370370370367E-3</v>
      </c>
      <c r="M398" s="2">
        <v>1.7233796296296296E-2</v>
      </c>
      <c r="N398" s="2">
        <v>3.5428240740740739E-2</v>
      </c>
      <c r="O398" s="2">
        <v>0</v>
      </c>
      <c r="P398" s="2">
        <v>0</v>
      </c>
    </row>
    <row r="399" spans="1:16" x14ac:dyDescent="0.3">
      <c r="A399" s="1">
        <v>44632.913043981483</v>
      </c>
      <c r="B399" s="1">
        <v>44632.973113425927</v>
      </c>
      <c r="C399">
        <v>86.5</v>
      </c>
      <c r="D399" s="2">
        <v>6.0069444444444446E-2</v>
      </c>
      <c r="E399">
        <v>17.178999999999998</v>
      </c>
      <c r="F399" s="2">
        <v>3.4953703703703705E-3</v>
      </c>
      <c r="G399">
        <v>11.92</v>
      </c>
      <c r="H399">
        <v>19.89</v>
      </c>
      <c r="I399">
        <v>167</v>
      </c>
      <c r="J399">
        <v>154</v>
      </c>
      <c r="K399">
        <v>1321</v>
      </c>
      <c r="L399" s="2">
        <v>3.1712962962962958E-3</v>
      </c>
      <c r="M399" s="2">
        <v>1.6909722222222225E-2</v>
      </c>
      <c r="N399" s="2">
        <v>3.4131944444444444E-2</v>
      </c>
      <c r="O399" s="2">
        <v>0</v>
      </c>
      <c r="P399" s="2">
        <v>0</v>
      </c>
    </row>
    <row r="400" spans="1:16" x14ac:dyDescent="0.3">
      <c r="A400" s="1">
        <v>44635.926099537035</v>
      </c>
      <c r="B400" s="1">
        <v>44635.953287037039</v>
      </c>
      <c r="C400">
        <v>39.159999999999997</v>
      </c>
      <c r="D400" s="2">
        <v>2.71875E-2</v>
      </c>
      <c r="E400">
        <v>10.009</v>
      </c>
      <c r="F400" s="2">
        <v>2.7083333333333334E-3</v>
      </c>
      <c r="G400">
        <v>15.33</v>
      </c>
      <c r="H400">
        <v>17.54</v>
      </c>
      <c r="I400">
        <v>178</v>
      </c>
      <c r="J400">
        <v>167</v>
      </c>
      <c r="K400">
        <v>700</v>
      </c>
      <c r="L400" s="2">
        <v>2.6620370370370374E-3</v>
      </c>
      <c r="M400" s="2">
        <v>1.3495370370370371E-2</v>
      </c>
      <c r="N400" s="2">
        <v>2.7175925925925926E-2</v>
      </c>
      <c r="O400" s="2">
        <v>0</v>
      </c>
      <c r="P400" s="2">
        <v>0</v>
      </c>
    </row>
    <row r="401" spans="1:16" x14ac:dyDescent="0.3">
      <c r="A401" s="1">
        <v>44635.954004629632</v>
      </c>
      <c r="B401" s="1">
        <v>44635.962291666663</v>
      </c>
      <c r="C401">
        <v>11.95</v>
      </c>
      <c r="D401" s="2">
        <v>8.2870370370370372E-3</v>
      </c>
      <c r="E401">
        <v>2.12</v>
      </c>
      <c r="F401" s="2">
        <v>3.9120370370370368E-3</v>
      </c>
      <c r="G401">
        <v>10.65</v>
      </c>
      <c r="H401">
        <v>11.69</v>
      </c>
      <c r="I401">
        <v>144</v>
      </c>
      <c r="J401">
        <v>132</v>
      </c>
      <c r="K401">
        <v>158</v>
      </c>
      <c r="L401" s="2">
        <v>3.7962962962962963E-3</v>
      </c>
      <c r="M401" s="2">
        <v>0</v>
      </c>
      <c r="N401" s="2">
        <v>0</v>
      </c>
      <c r="O401" s="2">
        <v>0</v>
      </c>
      <c r="P401" s="2">
        <v>0</v>
      </c>
    </row>
    <row r="402" spans="1:16" x14ac:dyDescent="0.3">
      <c r="A402" s="1">
        <v>44638.278449074074</v>
      </c>
      <c r="B402" s="1">
        <v>44638.321111111109</v>
      </c>
      <c r="C402">
        <v>61.44</v>
      </c>
      <c r="D402" s="2">
        <v>4.2662037037037033E-2</v>
      </c>
      <c r="E402">
        <v>12.614000000000001</v>
      </c>
      <c r="F402" s="2">
        <v>3.37962962962963E-3</v>
      </c>
      <c r="G402">
        <v>12.32</v>
      </c>
      <c r="H402">
        <v>16.93</v>
      </c>
      <c r="I402">
        <v>164</v>
      </c>
      <c r="J402">
        <v>145</v>
      </c>
      <c r="K402">
        <v>912</v>
      </c>
      <c r="L402" s="2">
        <v>2.9513888888888888E-3</v>
      </c>
      <c r="M402" s="2">
        <v>1.6446759259259262E-2</v>
      </c>
      <c r="N402" s="2">
        <v>3.3402777777777774E-2</v>
      </c>
      <c r="O402" s="2">
        <v>0</v>
      </c>
      <c r="P402" s="2">
        <v>0</v>
      </c>
    </row>
    <row r="403" spans="1:16" x14ac:dyDescent="0.3">
      <c r="A403" s="1">
        <v>44639.960173611114</v>
      </c>
      <c r="B403" s="1">
        <v>44640.003125000003</v>
      </c>
      <c r="C403">
        <v>61.85</v>
      </c>
      <c r="D403" s="2">
        <v>4.2951388888888886E-2</v>
      </c>
      <c r="E403">
        <v>12.542</v>
      </c>
      <c r="F403" s="2">
        <v>3.414351851851852E-3</v>
      </c>
      <c r="G403">
        <v>12.17</v>
      </c>
      <c r="H403">
        <v>17.8</v>
      </c>
      <c r="I403">
        <v>176</v>
      </c>
      <c r="J403">
        <v>147</v>
      </c>
      <c r="K403">
        <v>914</v>
      </c>
      <c r="L403" s="2">
        <v>3.2523148148148151E-3</v>
      </c>
      <c r="M403" s="2">
        <v>1.6875000000000001E-2</v>
      </c>
      <c r="N403" s="2">
        <v>3.4108796296296297E-2</v>
      </c>
      <c r="O403" s="2">
        <v>0</v>
      </c>
      <c r="P403" s="2">
        <v>0</v>
      </c>
    </row>
    <row r="404" spans="1:16" x14ac:dyDescent="0.3">
      <c r="A404" s="1">
        <v>44641.734594907408</v>
      </c>
      <c r="B404" s="1">
        <v>44641.769166666665</v>
      </c>
      <c r="C404">
        <v>45.4</v>
      </c>
      <c r="D404" s="2">
        <v>3.1516203703703706E-2</v>
      </c>
      <c r="E404">
        <v>10.003</v>
      </c>
      <c r="F404" s="2">
        <v>3.1481481481481482E-3</v>
      </c>
      <c r="G404">
        <v>13.22</v>
      </c>
      <c r="H404">
        <v>20.12</v>
      </c>
      <c r="I404">
        <v>182</v>
      </c>
      <c r="J404">
        <v>148</v>
      </c>
      <c r="K404">
        <v>682</v>
      </c>
      <c r="L404" s="2">
        <v>2.5925925925925925E-3</v>
      </c>
      <c r="M404" s="2">
        <v>1.3553240740740741E-2</v>
      </c>
      <c r="N404" s="2">
        <v>3.1481481481481485E-2</v>
      </c>
      <c r="O404" s="2">
        <v>0</v>
      </c>
      <c r="P404" s="2">
        <v>0</v>
      </c>
    </row>
    <row r="405" spans="1:16" x14ac:dyDescent="0.3">
      <c r="A405" s="1">
        <v>44643.75</v>
      </c>
      <c r="B405" s="1">
        <v>44643.767708333333</v>
      </c>
      <c r="C405">
        <v>25.5</v>
      </c>
      <c r="D405" s="2">
        <v>1.7708333333333333E-2</v>
      </c>
      <c r="E405">
        <v>5.22</v>
      </c>
      <c r="F405" s="2">
        <v>3.3912037037037036E-3</v>
      </c>
      <c r="G405">
        <v>12.28</v>
      </c>
      <c r="H405">
        <v>20</v>
      </c>
      <c r="I405">
        <v>0</v>
      </c>
      <c r="J405">
        <v>0</v>
      </c>
      <c r="K405">
        <v>409</v>
      </c>
      <c r="L405" s="2">
        <v>3.3912037037037036E-3</v>
      </c>
      <c r="M405" s="2">
        <v>1.695601851851852E-2</v>
      </c>
      <c r="N405" s="2">
        <v>0</v>
      </c>
      <c r="O405" s="2">
        <v>0</v>
      </c>
      <c r="P405" s="2">
        <v>0</v>
      </c>
    </row>
    <row r="406" spans="1:16" x14ac:dyDescent="0.3">
      <c r="A406" s="1">
        <v>44645.396041666667</v>
      </c>
      <c r="B406" s="1">
        <v>44645.426030092596</v>
      </c>
      <c r="C406">
        <v>43.19</v>
      </c>
      <c r="D406" s="2">
        <v>2.9988425925925922E-2</v>
      </c>
      <c r="E406">
        <v>10.132999999999999</v>
      </c>
      <c r="F406" s="2">
        <v>2.9513888888888888E-3</v>
      </c>
      <c r="G406">
        <v>14.08</v>
      </c>
      <c r="H406">
        <v>17.87</v>
      </c>
      <c r="I406">
        <v>184</v>
      </c>
      <c r="J406">
        <v>166</v>
      </c>
      <c r="K406">
        <v>737</v>
      </c>
      <c r="L406" s="2">
        <v>2.6504629629629625E-3</v>
      </c>
      <c r="M406" s="2">
        <v>1.4108796296296295E-2</v>
      </c>
      <c r="N406" s="2">
        <v>2.9490740740740744E-2</v>
      </c>
      <c r="O406" s="2">
        <v>0</v>
      </c>
      <c r="P406" s="2">
        <v>0</v>
      </c>
    </row>
    <row r="407" spans="1:16" x14ac:dyDescent="0.3">
      <c r="A407" s="1">
        <v>44646.949479166666</v>
      </c>
      <c r="B407" s="1">
        <v>44646.987129629626</v>
      </c>
      <c r="C407">
        <v>54.22</v>
      </c>
      <c r="D407" s="2">
        <v>3.7650462962962962E-2</v>
      </c>
      <c r="E407">
        <v>10.045</v>
      </c>
      <c r="F407" s="2">
        <v>3.7384259259259263E-3</v>
      </c>
      <c r="G407">
        <v>11.12</v>
      </c>
      <c r="H407">
        <v>17.329999999999998</v>
      </c>
      <c r="I407">
        <v>175</v>
      </c>
      <c r="J407">
        <v>161</v>
      </c>
      <c r="K407">
        <v>826</v>
      </c>
      <c r="L407" s="2">
        <v>3.5879629629629629E-3</v>
      </c>
      <c r="M407" s="2">
        <v>1.8553240740740742E-2</v>
      </c>
      <c r="N407" s="2">
        <v>3.7604166666666668E-2</v>
      </c>
      <c r="O407" s="2">
        <v>0</v>
      </c>
      <c r="P407" s="2">
        <v>0</v>
      </c>
    </row>
    <row r="408" spans="1:16" x14ac:dyDescent="0.3">
      <c r="A408" s="1">
        <v>44649.745208333334</v>
      </c>
      <c r="B408" s="1">
        <v>44649.774282407408</v>
      </c>
      <c r="C408">
        <v>41.1</v>
      </c>
      <c r="D408" s="2">
        <v>2.854166666666667E-2</v>
      </c>
      <c r="E408">
        <v>10.065</v>
      </c>
      <c r="F408" s="2">
        <v>2.8356481481481479E-3</v>
      </c>
      <c r="G408">
        <v>14.69</v>
      </c>
      <c r="H408">
        <v>16.89</v>
      </c>
      <c r="I408">
        <v>176</v>
      </c>
      <c r="J408">
        <v>166</v>
      </c>
      <c r="K408">
        <v>715</v>
      </c>
      <c r="L408" s="2">
        <v>2.6388888888888885E-3</v>
      </c>
      <c r="M408" s="2">
        <v>1.3703703703703704E-2</v>
      </c>
      <c r="N408" s="2">
        <v>2.8344907407407412E-2</v>
      </c>
      <c r="O408" s="2">
        <v>0</v>
      </c>
      <c r="P408" s="2">
        <v>0</v>
      </c>
    </row>
    <row r="409" spans="1:16" x14ac:dyDescent="0.3">
      <c r="A409" s="1">
        <v>44649.775266203702</v>
      </c>
      <c r="B409" s="1">
        <v>44649.786620370367</v>
      </c>
      <c r="C409">
        <v>16.36</v>
      </c>
      <c r="D409" s="2">
        <v>1.1354166666666667E-2</v>
      </c>
      <c r="E409">
        <v>3.3980000000000001</v>
      </c>
      <c r="F409" s="2">
        <v>3.3333333333333335E-3</v>
      </c>
      <c r="G409">
        <v>12.46</v>
      </c>
      <c r="H409">
        <v>15.18</v>
      </c>
      <c r="I409">
        <v>166</v>
      </c>
      <c r="J409">
        <v>152</v>
      </c>
      <c r="K409">
        <v>250</v>
      </c>
      <c r="L409" s="2">
        <v>3.1365740740740742E-3</v>
      </c>
      <c r="M409" s="2">
        <v>0</v>
      </c>
      <c r="N409" s="2">
        <v>0</v>
      </c>
      <c r="O409" s="2">
        <v>0</v>
      </c>
      <c r="P409" s="2">
        <v>0</v>
      </c>
    </row>
    <row r="410" spans="1:16" x14ac:dyDescent="0.3">
      <c r="A410" s="1">
        <v>44652.358749999999</v>
      </c>
      <c r="B410" s="1">
        <v>44652.385879629626</v>
      </c>
      <c r="C410">
        <v>39.07</v>
      </c>
      <c r="D410" s="2">
        <v>2.7129629629629632E-2</v>
      </c>
      <c r="E410">
        <v>10.012</v>
      </c>
      <c r="F410" s="2">
        <v>2.7083333333333334E-3</v>
      </c>
      <c r="G410">
        <v>15.37</v>
      </c>
      <c r="H410">
        <v>21.66</v>
      </c>
      <c r="I410">
        <v>183</v>
      </c>
      <c r="J410">
        <v>171</v>
      </c>
      <c r="K410">
        <v>716</v>
      </c>
      <c r="L410" s="2">
        <v>2.4305555555555556E-3</v>
      </c>
      <c r="M410" s="2">
        <v>1.315972222222222E-2</v>
      </c>
      <c r="N410" s="2">
        <v>2.7106481481481481E-2</v>
      </c>
      <c r="O410" s="2">
        <v>0</v>
      </c>
      <c r="P410" s="2">
        <v>0</v>
      </c>
    </row>
    <row r="411" spans="1:16" x14ac:dyDescent="0.3">
      <c r="A411" s="1">
        <v>44653.978819444441</v>
      </c>
      <c r="B411" s="1">
        <v>44654.010567129626</v>
      </c>
      <c r="C411">
        <v>45.72</v>
      </c>
      <c r="D411" s="2">
        <v>3.1747685185185184E-2</v>
      </c>
      <c r="E411">
        <v>8.7140000000000004</v>
      </c>
      <c r="F411" s="2">
        <v>3.6342592592592594E-3</v>
      </c>
      <c r="G411">
        <v>11.44</v>
      </c>
      <c r="H411">
        <v>13.91</v>
      </c>
      <c r="I411">
        <v>156</v>
      </c>
      <c r="J411">
        <v>144</v>
      </c>
      <c r="K411">
        <v>655</v>
      </c>
      <c r="L411" s="2">
        <v>3.425925925925926E-3</v>
      </c>
      <c r="M411" s="2">
        <v>1.8101851851851852E-2</v>
      </c>
      <c r="N411" s="2">
        <v>0</v>
      </c>
      <c r="O411" s="2">
        <v>0</v>
      </c>
      <c r="P411" s="2">
        <v>0</v>
      </c>
    </row>
    <row r="412" spans="1:16" x14ac:dyDescent="0.3">
      <c r="A412" s="1">
        <v>44654.854270833333</v>
      </c>
      <c r="B412" s="1">
        <v>44654.865995370368</v>
      </c>
      <c r="C412">
        <v>12.77</v>
      </c>
      <c r="D412" s="2">
        <v>8.8657407407407417E-3</v>
      </c>
      <c r="E412">
        <v>2.2210000000000001</v>
      </c>
      <c r="F412" s="2">
        <v>3.9930555555555561E-3</v>
      </c>
      <c r="G412">
        <v>10.43</v>
      </c>
      <c r="H412">
        <v>13.87</v>
      </c>
      <c r="I412">
        <v>143</v>
      </c>
      <c r="J412">
        <v>117</v>
      </c>
      <c r="K412">
        <v>151</v>
      </c>
      <c r="L412" s="2">
        <v>3.7962962962962963E-3</v>
      </c>
      <c r="M412" s="2">
        <v>0</v>
      </c>
      <c r="N412" s="2">
        <v>0</v>
      </c>
      <c r="O412" s="2">
        <v>0</v>
      </c>
      <c r="P412" s="2">
        <v>0</v>
      </c>
    </row>
    <row r="413" spans="1:16" x14ac:dyDescent="0.3">
      <c r="A413" s="1">
        <v>44655.721805555557</v>
      </c>
      <c r="B413" s="1">
        <v>44655.754212962966</v>
      </c>
      <c r="C413">
        <v>42.78</v>
      </c>
      <c r="D413" s="2">
        <v>2.9699074074074072E-2</v>
      </c>
      <c r="E413">
        <v>9.5079999999999991</v>
      </c>
      <c r="F413" s="2">
        <v>3.1134259259259257E-3</v>
      </c>
      <c r="G413">
        <v>13.34</v>
      </c>
      <c r="H413">
        <v>18.21</v>
      </c>
      <c r="I413">
        <v>179</v>
      </c>
      <c r="J413">
        <v>152</v>
      </c>
      <c r="K413">
        <v>660</v>
      </c>
      <c r="L413" s="2">
        <v>2.6620370370370374E-3</v>
      </c>
      <c r="M413" s="2">
        <v>1.4004629629629631E-2</v>
      </c>
      <c r="N413" s="2">
        <v>0</v>
      </c>
      <c r="O413" s="2">
        <v>0</v>
      </c>
      <c r="P413" s="2">
        <v>0</v>
      </c>
    </row>
    <row r="414" spans="1:16" x14ac:dyDescent="0.3">
      <c r="A414" s="1">
        <v>44658.865185185183</v>
      </c>
      <c r="B414" s="1">
        <v>44658.903599537036</v>
      </c>
      <c r="C414">
        <v>53.19</v>
      </c>
      <c r="D414" s="2">
        <v>3.6932870370370366E-2</v>
      </c>
      <c r="E414">
        <v>10.574</v>
      </c>
      <c r="F414" s="2">
        <v>3.483796296296296E-3</v>
      </c>
      <c r="G414">
        <v>11.93</v>
      </c>
      <c r="H414">
        <v>13.94</v>
      </c>
      <c r="I414">
        <v>154</v>
      </c>
      <c r="J414">
        <v>138</v>
      </c>
      <c r="K414">
        <v>756</v>
      </c>
      <c r="L414" s="2">
        <v>3.3101851851851851E-3</v>
      </c>
      <c r="M414" s="2">
        <v>1.6886574074074075E-2</v>
      </c>
      <c r="N414" s="2">
        <v>3.4756944444444444E-2</v>
      </c>
      <c r="O414" s="2">
        <v>0</v>
      </c>
      <c r="P414" s="2">
        <v>0</v>
      </c>
    </row>
    <row r="415" spans="1:16" x14ac:dyDescent="0.3">
      <c r="A415" s="1">
        <v>44661.863171296296</v>
      </c>
      <c r="B415" s="1">
        <v>44661.899675925924</v>
      </c>
      <c r="C415">
        <v>52.57</v>
      </c>
      <c r="D415" s="2">
        <v>3.650462962962963E-2</v>
      </c>
      <c r="E415">
        <v>10.157999999999999</v>
      </c>
      <c r="F415" s="2">
        <v>3.5879629629629629E-3</v>
      </c>
      <c r="G415">
        <v>11.59</v>
      </c>
      <c r="H415">
        <v>14.18</v>
      </c>
      <c r="I415">
        <v>161</v>
      </c>
      <c r="J415">
        <v>140</v>
      </c>
      <c r="K415">
        <v>774</v>
      </c>
      <c r="L415" s="2">
        <v>3.3449074074074071E-3</v>
      </c>
      <c r="M415" s="2">
        <v>1.7395833333333336E-2</v>
      </c>
      <c r="N415" s="2">
        <v>3.5879629629629629E-2</v>
      </c>
      <c r="O415" s="2">
        <v>0</v>
      </c>
      <c r="P415" s="2">
        <v>0</v>
      </c>
    </row>
    <row r="416" spans="1:16" x14ac:dyDescent="0.3">
      <c r="A416" s="1">
        <v>44662.725462962961</v>
      </c>
      <c r="B416" s="1">
        <v>44662.749965277777</v>
      </c>
      <c r="C416">
        <v>35.28</v>
      </c>
      <c r="D416" s="2">
        <v>2.449074074074074E-2</v>
      </c>
      <c r="E416">
        <v>8.0649999999999995</v>
      </c>
      <c r="F416" s="2">
        <v>3.0324074074074073E-3</v>
      </c>
      <c r="G416">
        <v>13.71</v>
      </c>
      <c r="H416">
        <v>19.739999999999998</v>
      </c>
      <c r="I416">
        <v>175</v>
      </c>
      <c r="J416">
        <v>159</v>
      </c>
      <c r="K416">
        <v>520</v>
      </c>
      <c r="L416" s="2">
        <v>2.7662037037037034E-3</v>
      </c>
      <c r="M416" s="2">
        <v>1.4525462962962964E-2</v>
      </c>
      <c r="N416" s="2">
        <v>0</v>
      </c>
      <c r="O416" s="2">
        <v>0</v>
      </c>
      <c r="P416" s="2">
        <v>0</v>
      </c>
    </row>
    <row r="417" spans="1:16" x14ac:dyDescent="0.3">
      <c r="A417" s="1">
        <v>44666.6562037037</v>
      </c>
      <c r="B417" s="1">
        <v>44666.691770833335</v>
      </c>
      <c r="C417">
        <v>51.23</v>
      </c>
      <c r="D417" s="2">
        <v>3.5567129629629629E-2</v>
      </c>
      <c r="E417">
        <v>10.053000000000001</v>
      </c>
      <c r="F417" s="2">
        <v>3.530092592592592E-3</v>
      </c>
      <c r="G417">
        <v>11.77</v>
      </c>
      <c r="H417">
        <v>14.08</v>
      </c>
      <c r="I417">
        <v>154</v>
      </c>
      <c r="J417">
        <v>142</v>
      </c>
      <c r="K417">
        <v>751</v>
      </c>
      <c r="L417" s="2">
        <v>3.3564814814814811E-3</v>
      </c>
      <c r="M417" s="2">
        <v>1.7476851851851851E-2</v>
      </c>
      <c r="N417" s="2">
        <v>3.5405092592592592E-2</v>
      </c>
      <c r="O417" s="2">
        <v>0</v>
      </c>
      <c r="P417" s="2">
        <v>0</v>
      </c>
    </row>
    <row r="418" spans="1:16" x14ac:dyDescent="0.3">
      <c r="A418" s="1">
        <v>44667.97451388889</v>
      </c>
      <c r="B418" s="1">
        <v>44668.010567129626</v>
      </c>
      <c r="C418">
        <v>51.92</v>
      </c>
      <c r="D418" s="2">
        <v>3.605324074074074E-2</v>
      </c>
      <c r="E418">
        <v>10.048</v>
      </c>
      <c r="F418" s="2">
        <v>3.5879629629629629E-3</v>
      </c>
      <c r="G418">
        <v>11.61</v>
      </c>
      <c r="H418">
        <v>16.559999999999999</v>
      </c>
      <c r="I418">
        <v>163</v>
      </c>
      <c r="J418">
        <v>146</v>
      </c>
      <c r="K418">
        <v>774</v>
      </c>
      <c r="L418" s="2">
        <v>3.3449074074074071E-3</v>
      </c>
      <c r="M418" s="2">
        <v>1.7476851851851851E-2</v>
      </c>
      <c r="N418" s="2">
        <v>3.5937500000000004E-2</v>
      </c>
      <c r="O418" s="2">
        <v>0</v>
      </c>
      <c r="P418" s="2">
        <v>0</v>
      </c>
    </row>
    <row r="419" spans="1:16" x14ac:dyDescent="0.3">
      <c r="A419" s="1">
        <v>44669.722002314818</v>
      </c>
      <c r="B419" s="1">
        <v>44669.753576388888</v>
      </c>
      <c r="C419">
        <v>42.41</v>
      </c>
      <c r="D419" s="2">
        <v>2.9444444444444443E-2</v>
      </c>
      <c r="E419">
        <v>10.038</v>
      </c>
      <c r="F419" s="2">
        <v>2.9282407407407412E-3</v>
      </c>
      <c r="G419">
        <v>14.2</v>
      </c>
      <c r="H419">
        <v>22.04</v>
      </c>
      <c r="I419">
        <v>174</v>
      </c>
      <c r="J419">
        <v>157</v>
      </c>
      <c r="K419">
        <v>694</v>
      </c>
      <c r="L419" s="2">
        <v>2.5000000000000001E-3</v>
      </c>
      <c r="M419" s="2">
        <v>1.3923611111111111E-2</v>
      </c>
      <c r="N419" s="2">
        <v>2.9305555555555557E-2</v>
      </c>
      <c r="O419" s="2">
        <v>0</v>
      </c>
      <c r="P419" s="2">
        <v>0</v>
      </c>
    </row>
    <row r="420" spans="1:16" x14ac:dyDescent="0.3">
      <c r="A420" s="1">
        <v>44672.684502314813</v>
      </c>
      <c r="B420" s="1">
        <v>44672.717129629629</v>
      </c>
      <c r="C420">
        <v>46.99</v>
      </c>
      <c r="D420" s="2">
        <v>3.2627314814814817E-2</v>
      </c>
      <c r="E420">
        <v>10.077</v>
      </c>
      <c r="F420" s="2">
        <v>3.2291666666666666E-3</v>
      </c>
      <c r="G420">
        <v>12.87</v>
      </c>
      <c r="H420">
        <v>15.28</v>
      </c>
      <c r="I420">
        <v>164</v>
      </c>
      <c r="J420">
        <v>143</v>
      </c>
      <c r="K420">
        <v>713</v>
      </c>
      <c r="L420" s="2">
        <v>3.0324074074074073E-3</v>
      </c>
      <c r="M420" s="2">
        <v>1.5694444444444445E-2</v>
      </c>
      <c r="N420" s="2">
        <v>3.2407407407407406E-2</v>
      </c>
      <c r="O420" s="2">
        <v>0</v>
      </c>
      <c r="P420" s="2">
        <v>0</v>
      </c>
    </row>
    <row r="421" spans="1:16" x14ac:dyDescent="0.3">
      <c r="A421" s="1">
        <v>44676.90042824074</v>
      </c>
      <c r="B421" s="1">
        <v>44676.949594907404</v>
      </c>
      <c r="C421">
        <v>70.8</v>
      </c>
      <c r="D421" s="2">
        <v>4.9155092592592597E-2</v>
      </c>
      <c r="E421">
        <v>16.042999999999999</v>
      </c>
      <c r="F421" s="2">
        <v>3.0555555555555557E-3</v>
      </c>
      <c r="G421">
        <v>13.6</v>
      </c>
      <c r="H421">
        <v>17.13</v>
      </c>
      <c r="I421">
        <v>173</v>
      </c>
      <c r="J421">
        <v>161</v>
      </c>
      <c r="K421">
        <v>1189</v>
      </c>
      <c r="L421" s="2">
        <v>2.615740740740741E-3</v>
      </c>
      <c r="M421" s="2">
        <v>1.462962962962963E-2</v>
      </c>
      <c r="N421" s="2">
        <v>2.989583333333333E-2</v>
      </c>
      <c r="O421" s="2">
        <v>0</v>
      </c>
      <c r="P421" s="2">
        <v>0</v>
      </c>
    </row>
    <row r="422" spans="1:16" x14ac:dyDescent="0.3">
      <c r="A422" s="1">
        <v>44678.750590277778</v>
      </c>
      <c r="B422" s="1">
        <v>44678.762569444443</v>
      </c>
      <c r="C422">
        <v>13.58</v>
      </c>
      <c r="D422" s="2">
        <v>9.432870370370371E-3</v>
      </c>
      <c r="E422">
        <v>2.746</v>
      </c>
      <c r="F422" s="2">
        <v>3.0439814814814821E-3</v>
      </c>
      <c r="G422">
        <v>13.65</v>
      </c>
      <c r="H422">
        <v>2.4300000000000002</v>
      </c>
      <c r="I422">
        <v>171</v>
      </c>
      <c r="J422">
        <v>152</v>
      </c>
      <c r="K422">
        <v>226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</row>
    <row r="423" spans="1:16" x14ac:dyDescent="0.3">
      <c r="A423" s="1">
        <v>44681.973136574074</v>
      </c>
      <c r="B423" s="1">
        <v>44682.007488425923</v>
      </c>
      <c r="C423">
        <v>49.47</v>
      </c>
      <c r="D423" s="2">
        <v>3.4351851851851849E-2</v>
      </c>
      <c r="E423">
        <v>11.124000000000001</v>
      </c>
      <c r="F423" s="2">
        <v>3.0787037037037037E-3</v>
      </c>
      <c r="G423">
        <v>13.49</v>
      </c>
      <c r="H423">
        <v>17.100000000000001</v>
      </c>
      <c r="I423">
        <v>167</v>
      </c>
      <c r="J423">
        <v>150</v>
      </c>
      <c r="K423">
        <v>777</v>
      </c>
      <c r="L423" s="2">
        <v>2.8703703703703708E-3</v>
      </c>
      <c r="M423" s="2">
        <v>1.503472222222222E-2</v>
      </c>
      <c r="N423" s="2">
        <v>3.0671296296296294E-2</v>
      </c>
      <c r="O423" s="2">
        <v>0</v>
      </c>
      <c r="P423" s="2">
        <v>0</v>
      </c>
    </row>
    <row r="424" spans="1:16" x14ac:dyDescent="0.3">
      <c r="A424" s="1">
        <v>44683.910219907404</v>
      </c>
      <c r="B424" s="1">
        <v>44683.947199074071</v>
      </c>
      <c r="C424">
        <v>53.26</v>
      </c>
      <c r="D424" s="2">
        <v>3.6979166666666667E-2</v>
      </c>
      <c r="E424">
        <v>11.375</v>
      </c>
      <c r="F424" s="2">
        <v>3.2407407407407406E-3</v>
      </c>
      <c r="G424">
        <v>12.81</v>
      </c>
      <c r="H424">
        <v>17.3</v>
      </c>
      <c r="I424">
        <v>166</v>
      </c>
      <c r="J424">
        <v>148</v>
      </c>
      <c r="K424">
        <v>826</v>
      </c>
      <c r="L424" s="2">
        <v>3.0324074074074073E-3</v>
      </c>
      <c r="M424" s="2">
        <v>1.5740740740740743E-2</v>
      </c>
      <c r="N424" s="2">
        <v>3.2222222222222222E-2</v>
      </c>
      <c r="O424" s="2">
        <v>0</v>
      </c>
      <c r="P424" s="2">
        <v>0</v>
      </c>
    </row>
    <row r="425" spans="1:16" x14ac:dyDescent="0.3">
      <c r="A425" s="1">
        <v>44685.653923611113</v>
      </c>
      <c r="B425" s="1">
        <v>44685.662222222221</v>
      </c>
      <c r="C425">
        <v>11.28</v>
      </c>
      <c r="D425" s="2">
        <v>7.8240740740740753E-3</v>
      </c>
      <c r="E425">
        <v>2.2610000000000001</v>
      </c>
      <c r="F425" s="2">
        <v>3.4606481481481485E-3</v>
      </c>
      <c r="G425">
        <v>12.03</v>
      </c>
      <c r="H425">
        <v>13.67</v>
      </c>
      <c r="I425">
        <v>150</v>
      </c>
      <c r="J425">
        <v>134</v>
      </c>
      <c r="K425">
        <v>161</v>
      </c>
      <c r="L425" s="2">
        <v>3.2291666666666666E-3</v>
      </c>
      <c r="M425" s="2">
        <v>0</v>
      </c>
      <c r="N425" s="2">
        <v>0</v>
      </c>
      <c r="O425" s="2">
        <v>0</v>
      </c>
      <c r="P425" s="2">
        <v>0</v>
      </c>
    </row>
    <row r="426" spans="1:16" x14ac:dyDescent="0.3">
      <c r="A426" s="1">
        <v>44685.678981481484</v>
      </c>
      <c r="B426" s="1">
        <v>44685.720358796294</v>
      </c>
      <c r="C426">
        <v>59.04</v>
      </c>
      <c r="D426" s="2">
        <v>4.099537037037037E-2</v>
      </c>
      <c r="E426">
        <v>10.08</v>
      </c>
      <c r="F426" s="2">
        <v>4.0624999999999993E-3</v>
      </c>
      <c r="G426">
        <v>10.24</v>
      </c>
      <c r="H426">
        <v>16.36</v>
      </c>
      <c r="I426">
        <v>159</v>
      </c>
      <c r="J426">
        <v>129</v>
      </c>
      <c r="K426">
        <v>753</v>
      </c>
      <c r="L426" s="2">
        <v>3.7152777777777774E-3</v>
      </c>
      <c r="M426" s="2">
        <v>2.013888888888889E-2</v>
      </c>
      <c r="N426" s="2">
        <v>4.0763888888888891E-2</v>
      </c>
      <c r="O426" s="2">
        <v>0</v>
      </c>
      <c r="P426" s="2">
        <v>0</v>
      </c>
    </row>
    <row r="427" spans="1:16" x14ac:dyDescent="0.3">
      <c r="A427" s="1">
        <v>44685.74496527778</v>
      </c>
      <c r="B427" s="1">
        <v>44685.752766203703</v>
      </c>
      <c r="C427">
        <v>11.24</v>
      </c>
      <c r="D427" s="2">
        <v>7.8009259259259256E-3</v>
      </c>
      <c r="E427">
        <v>2.5529999999999999</v>
      </c>
      <c r="F427" s="2">
        <v>3.0555555555555557E-3</v>
      </c>
      <c r="G427">
        <v>13.63</v>
      </c>
      <c r="H427">
        <v>17.03</v>
      </c>
      <c r="I427">
        <v>169</v>
      </c>
      <c r="J427">
        <v>149</v>
      </c>
      <c r="K427">
        <v>181</v>
      </c>
      <c r="L427" s="2">
        <v>2.8356481481481479E-3</v>
      </c>
      <c r="M427" s="2">
        <v>0</v>
      </c>
      <c r="N427" s="2">
        <v>0</v>
      </c>
      <c r="O427" s="2">
        <v>0</v>
      </c>
      <c r="P427" s="2">
        <v>0</v>
      </c>
    </row>
    <row r="428" spans="1:16" x14ac:dyDescent="0.3">
      <c r="A428" s="1">
        <v>44688.97216435185</v>
      </c>
      <c r="B428" s="1">
        <v>44689.009120370371</v>
      </c>
      <c r="C428">
        <v>53.22</v>
      </c>
      <c r="D428" s="2">
        <v>3.695601851851852E-2</v>
      </c>
      <c r="E428">
        <v>11.22</v>
      </c>
      <c r="F428" s="2">
        <v>3.2870370370370367E-3</v>
      </c>
      <c r="G428">
        <v>12.65</v>
      </c>
      <c r="H428">
        <v>17.57</v>
      </c>
      <c r="I428">
        <v>165</v>
      </c>
      <c r="J428">
        <v>148</v>
      </c>
      <c r="K428">
        <v>818</v>
      </c>
      <c r="L428" s="2">
        <v>2.9861111111111113E-3</v>
      </c>
      <c r="M428" s="2">
        <v>1.6296296296296295E-2</v>
      </c>
      <c r="N428" s="2">
        <v>3.2743055555555553E-2</v>
      </c>
      <c r="O428" s="2">
        <v>0</v>
      </c>
      <c r="P428" s="2">
        <v>0</v>
      </c>
    </row>
    <row r="429" spans="1:16" x14ac:dyDescent="0.3">
      <c r="A429" s="1">
        <v>44690.722708333335</v>
      </c>
      <c r="B429" s="1">
        <v>44690.750023148146</v>
      </c>
      <c r="C429">
        <v>30.67</v>
      </c>
      <c r="D429" s="2">
        <v>2.1296296296296299E-2</v>
      </c>
      <c r="E429">
        <v>7.242</v>
      </c>
      <c r="F429" s="2">
        <v>3.0787037037037037E-3</v>
      </c>
      <c r="G429">
        <v>13.52</v>
      </c>
      <c r="H429">
        <v>18.41</v>
      </c>
      <c r="I429">
        <v>179</v>
      </c>
      <c r="J429">
        <v>155</v>
      </c>
      <c r="K429">
        <v>511</v>
      </c>
      <c r="L429" s="2">
        <v>2.9166666666666668E-3</v>
      </c>
      <c r="M429" s="2">
        <v>1.545138888888889E-2</v>
      </c>
      <c r="N429" s="2">
        <v>0</v>
      </c>
      <c r="O429" s="2">
        <v>0</v>
      </c>
      <c r="P429" s="2">
        <v>0</v>
      </c>
    </row>
    <row r="430" spans="1:16" x14ac:dyDescent="0.3">
      <c r="A430" s="1">
        <v>44693.855231481481</v>
      </c>
      <c r="B430" s="1">
        <v>44693.862002314818</v>
      </c>
      <c r="C430">
        <v>9.75</v>
      </c>
      <c r="D430" s="2">
        <v>6.7708333333333336E-3</v>
      </c>
      <c r="E430">
        <v>1.639</v>
      </c>
      <c r="F430" s="2">
        <v>4.1203703703703706E-3</v>
      </c>
      <c r="G430">
        <v>10.09</v>
      </c>
      <c r="H430">
        <v>11.29</v>
      </c>
      <c r="I430">
        <v>157</v>
      </c>
      <c r="J430">
        <v>129</v>
      </c>
      <c r="K430">
        <v>130</v>
      </c>
      <c r="L430" s="2">
        <v>4.0393518518518521E-3</v>
      </c>
      <c r="M430" s="2">
        <v>0</v>
      </c>
      <c r="N430" s="2">
        <v>0</v>
      </c>
      <c r="O430" s="2">
        <v>0</v>
      </c>
      <c r="P430" s="2">
        <v>0</v>
      </c>
    </row>
    <row r="431" spans="1:16" x14ac:dyDescent="0.3">
      <c r="A431" s="1">
        <v>44693.905462962961</v>
      </c>
      <c r="B431" s="1">
        <v>44693.91915509259</v>
      </c>
      <c r="C431">
        <v>19.72</v>
      </c>
      <c r="D431" s="2">
        <v>1.3692129629629629E-2</v>
      </c>
      <c r="E431">
        <v>5.0540000000000003</v>
      </c>
      <c r="F431" s="2">
        <v>2.7083333333333334E-3</v>
      </c>
      <c r="G431">
        <v>15.38</v>
      </c>
      <c r="H431">
        <v>24.79</v>
      </c>
      <c r="I431">
        <v>180</v>
      </c>
      <c r="J431">
        <v>163</v>
      </c>
      <c r="K431">
        <v>343</v>
      </c>
      <c r="L431" s="2">
        <v>2.3726851851851851E-3</v>
      </c>
      <c r="M431" s="2">
        <v>1.3564814814814816E-2</v>
      </c>
      <c r="N431" s="2">
        <v>0</v>
      </c>
      <c r="O431" s="2">
        <v>0</v>
      </c>
      <c r="P431" s="2">
        <v>0</v>
      </c>
    </row>
    <row r="432" spans="1:16" x14ac:dyDescent="0.3">
      <c r="A432" s="1">
        <v>44695.973136574074</v>
      </c>
      <c r="B432" s="1">
        <v>44696.008229166669</v>
      </c>
      <c r="C432">
        <v>50.54</v>
      </c>
      <c r="D432" s="2">
        <v>3.5092592592592592E-2</v>
      </c>
      <c r="E432">
        <v>10.032999999999999</v>
      </c>
      <c r="F432" s="2">
        <v>3.4953703703703705E-3</v>
      </c>
      <c r="G432">
        <v>11.91</v>
      </c>
      <c r="H432">
        <v>13.54</v>
      </c>
      <c r="I432">
        <v>166</v>
      </c>
      <c r="J432">
        <v>149</v>
      </c>
      <c r="K432">
        <v>771</v>
      </c>
      <c r="L432" s="2">
        <v>3.2407407407407406E-3</v>
      </c>
      <c r="M432" s="2">
        <v>1.6770833333333332E-2</v>
      </c>
      <c r="N432" s="2">
        <v>3.4999999999999996E-2</v>
      </c>
      <c r="O432" s="2">
        <v>0</v>
      </c>
      <c r="P432" s="2">
        <v>0</v>
      </c>
    </row>
    <row r="433" spans="1:16" x14ac:dyDescent="0.3">
      <c r="A433" s="1">
        <v>44697.724664351852</v>
      </c>
      <c r="B433" s="1">
        <v>44697.754953703705</v>
      </c>
      <c r="C433">
        <v>43</v>
      </c>
      <c r="D433" s="2">
        <v>2.9861111111111113E-2</v>
      </c>
      <c r="E433">
        <v>10.026999999999999</v>
      </c>
      <c r="F433" s="2">
        <v>2.9745370370370373E-3</v>
      </c>
      <c r="G433">
        <v>13.99</v>
      </c>
      <c r="H433">
        <v>17.7</v>
      </c>
      <c r="I433">
        <v>177</v>
      </c>
      <c r="J433">
        <v>153</v>
      </c>
      <c r="K433">
        <v>710</v>
      </c>
      <c r="L433" s="2">
        <v>2.6388888888888885E-3</v>
      </c>
      <c r="M433" s="2">
        <v>1.3981481481481482E-2</v>
      </c>
      <c r="N433" s="2">
        <v>2.9756944444444447E-2</v>
      </c>
      <c r="O433" s="2">
        <v>0</v>
      </c>
      <c r="P433" s="2">
        <v>0</v>
      </c>
    </row>
    <row r="434" spans="1:16" x14ac:dyDescent="0.3">
      <c r="A434" s="1">
        <v>44700.981770833336</v>
      </c>
      <c r="B434" s="1">
        <v>44701.030624999999</v>
      </c>
      <c r="C434">
        <v>70.36</v>
      </c>
      <c r="D434" s="2">
        <v>4.8854166666666664E-2</v>
      </c>
      <c r="E434">
        <v>14.148999999999999</v>
      </c>
      <c r="F434" s="2">
        <v>3.4490740740740745E-3</v>
      </c>
      <c r="G434">
        <v>12.07</v>
      </c>
      <c r="H434">
        <v>16.86</v>
      </c>
      <c r="I434">
        <v>168</v>
      </c>
      <c r="J434">
        <v>149</v>
      </c>
      <c r="K434">
        <v>1041</v>
      </c>
      <c r="L434" s="2">
        <v>3.2060185185185191E-3</v>
      </c>
      <c r="M434" s="2">
        <v>1.7002314814814814E-2</v>
      </c>
      <c r="N434" s="2">
        <v>3.4155092592592591E-2</v>
      </c>
      <c r="O434" s="2">
        <v>0</v>
      </c>
      <c r="P434" s="2">
        <v>0</v>
      </c>
    </row>
    <row r="435" spans="1:16" x14ac:dyDescent="0.3">
      <c r="A435" s="1">
        <v>44702.934236111112</v>
      </c>
      <c r="B435" s="1">
        <v>44702.974444444444</v>
      </c>
      <c r="C435">
        <v>57.9</v>
      </c>
      <c r="D435" s="2">
        <v>4.0208333333333332E-2</v>
      </c>
      <c r="E435">
        <v>12.129</v>
      </c>
      <c r="F435" s="2">
        <v>3.3101851851851851E-3</v>
      </c>
      <c r="G435">
        <v>12.57</v>
      </c>
      <c r="H435">
        <v>15.69</v>
      </c>
      <c r="I435">
        <v>165</v>
      </c>
      <c r="J435">
        <v>148</v>
      </c>
      <c r="K435">
        <v>870</v>
      </c>
      <c r="L435" s="2">
        <v>2.8935185185185188E-3</v>
      </c>
      <c r="M435" s="2">
        <v>1.5995370370370372E-2</v>
      </c>
      <c r="N435" s="2">
        <v>3.2685185185185185E-2</v>
      </c>
      <c r="O435" s="2">
        <v>0</v>
      </c>
      <c r="P435" s="2">
        <v>0</v>
      </c>
    </row>
    <row r="436" spans="1:16" x14ac:dyDescent="0.3">
      <c r="A436" s="1">
        <v>44704.725937499999</v>
      </c>
      <c r="B436" s="1">
        <v>44704.748541666668</v>
      </c>
      <c r="C436">
        <v>32.56</v>
      </c>
      <c r="D436" s="2">
        <v>2.2604166666666665E-2</v>
      </c>
      <c r="E436">
        <v>7.0490000000000004</v>
      </c>
      <c r="F436" s="2">
        <v>3.2060185185185191E-3</v>
      </c>
      <c r="G436">
        <v>12.99</v>
      </c>
      <c r="H436">
        <v>16.16</v>
      </c>
      <c r="I436">
        <v>170</v>
      </c>
      <c r="J436">
        <v>156</v>
      </c>
      <c r="K436">
        <v>518</v>
      </c>
      <c r="L436" s="2">
        <v>2.8935185185185188E-3</v>
      </c>
      <c r="M436" s="2">
        <v>1.5520833333333333E-2</v>
      </c>
      <c r="N436" s="2">
        <v>0</v>
      </c>
      <c r="O436" s="2">
        <v>0</v>
      </c>
      <c r="P436" s="2">
        <v>0</v>
      </c>
    </row>
    <row r="437" spans="1:16" x14ac:dyDescent="0.3">
      <c r="A437" s="1">
        <v>44706.866018518522</v>
      </c>
      <c r="B437" s="1">
        <v>44706.898113425923</v>
      </c>
      <c r="C437">
        <v>45.63</v>
      </c>
      <c r="D437" s="2">
        <v>3.1678240740740743E-2</v>
      </c>
      <c r="E437">
        <v>9.2530000000000001</v>
      </c>
      <c r="F437" s="2">
        <v>3.414351851851852E-3</v>
      </c>
      <c r="G437">
        <v>12.17</v>
      </c>
      <c r="H437">
        <v>14.71</v>
      </c>
      <c r="I437">
        <v>164</v>
      </c>
      <c r="J437">
        <v>140</v>
      </c>
      <c r="K437">
        <v>653</v>
      </c>
      <c r="L437" s="2">
        <v>3.1597222222222222E-3</v>
      </c>
      <c r="M437" s="2">
        <v>1.6747685185185185E-2</v>
      </c>
      <c r="N437" s="2">
        <v>0</v>
      </c>
      <c r="O437" s="2">
        <v>0</v>
      </c>
      <c r="P437" s="2">
        <v>0</v>
      </c>
    </row>
    <row r="438" spans="1:16" x14ac:dyDescent="0.3">
      <c r="A438" s="1">
        <v>44710.873807870368</v>
      </c>
      <c r="B438" s="1">
        <v>44710.920300925929</v>
      </c>
      <c r="C438">
        <v>65.63</v>
      </c>
      <c r="D438" s="2">
        <v>4.5567129629629631E-2</v>
      </c>
      <c r="E438">
        <v>14.055</v>
      </c>
      <c r="F438" s="2">
        <v>3.2407407407407406E-3</v>
      </c>
      <c r="G438">
        <v>12.85</v>
      </c>
      <c r="H438">
        <v>17.670000000000002</v>
      </c>
      <c r="I438">
        <v>173</v>
      </c>
      <c r="J438">
        <v>152</v>
      </c>
      <c r="K438">
        <v>1001</v>
      </c>
      <c r="L438" s="2">
        <v>2.8819444444444444E-3</v>
      </c>
      <c r="M438" s="2">
        <v>1.5300925925925926E-2</v>
      </c>
      <c r="N438" s="2">
        <v>3.1828703703703706E-2</v>
      </c>
      <c r="O438" s="2">
        <v>0</v>
      </c>
      <c r="P438" s="2">
        <v>0</v>
      </c>
    </row>
    <row r="439" spans="1:16" x14ac:dyDescent="0.3">
      <c r="A439" s="1">
        <v>44711.723229166666</v>
      </c>
      <c r="B439" s="1">
        <v>44711.753634259258</v>
      </c>
      <c r="C439">
        <v>36.450000000000003</v>
      </c>
      <c r="D439" s="2">
        <v>2.5300925925925925E-2</v>
      </c>
      <c r="E439">
        <v>7.4020000000000001</v>
      </c>
      <c r="F439" s="2">
        <v>3.414351851851852E-3</v>
      </c>
      <c r="G439">
        <v>12.18</v>
      </c>
      <c r="H439">
        <v>17.77</v>
      </c>
      <c r="I439">
        <v>173</v>
      </c>
      <c r="J439">
        <v>146</v>
      </c>
      <c r="K439">
        <v>530</v>
      </c>
      <c r="L439" s="2">
        <v>2.6620370370370374E-3</v>
      </c>
      <c r="M439" s="2">
        <v>1.4513888888888889E-2</v>
      </c>
      <c r="N439" s="2">
        <v>0</v>
      </c>
      <c r="O439" s="2">
        <v>0</v>
      </c>
      <c r="P439" s="2">
        <v>0</v>
      </c>
    </row>
    <row r="440" spans="1:16" x14ac:dyDescent="0.3">
      <c r="A440" s="1">
        <v>44713.931574074071</v>
      </c>
      <c r="B440" s="1">
        <v>44713.958831018521</v>
      </c>
      <c r="C440">
        <v>39.200000000000003</v>
      </c>
      <c r="D440" s="2">
        <v>2.7222222222222228E-2</v>
      </c>
      <c r="E440">
        <v>8.0380000000000003</v>
      </c>
      <c r="F440" s="2">
        <v>3.37962962962963E-3</v>
      </c>
      <c r="G440">
        <v>12.3</v>
      </c>
      <c r="H440">
        <v>17</v>
      </c>
      <c r="I440">
        <v>164</v>
      </c>
      <c r="J440">
        <v>139</v>
      </c>
      <c r="K440">
        <v>560</v>
      </c>
      <c r="L440" s="2">
        <v>3.0787037037037037E-3</v>
      </c>
      <c r="M440" s="2">
        <v>1.6620370370370372E-2</v>
      </c>
      <c r="N440" s="2">
        <v>0</v>
      </c>
      <c r="O440" s="2">
        <v>0</v>
      </c>
      <c r="P440" s="2">
        <v>0</v>
      </c>
    </row>
    <row r="441" spans="1:16" x14ac:dyDescent="0.3">
      <c r="A441" s="1">
        <v>44715.281701388885</v>
      </c>
      <c r="B441" s="1">
        <v>44715.308958333335</v>
      </c>
      <c r="C441">
        <v>39.25</v>
      </c>
      <c r="D441" s="2">
        <v>2.7256944444444445E-2</v>
      </c>
      <c r="E441">
        <v>10.02</v>
      </c>
      <c r="F441" s="2">
        <v>2.7199074074074074E-3</v>
      </c>
      <c r="G441">
        <v>15.32</v>
      </c>
      <c r="H441">
        <v>0</v>
      </c>
      <c r="I441">
        <v>0</v>
      </c>
      <c r="J441">
        <v>0</v>
      </c>
      <c r="K441">
        <v>654</v>
      </c>
      <c r="L441" s="2">
        <v>2.7199074074074074E-3</v>
      </c>
      <c r="M441" s="2">
        <v>1.3599537037037037E-2</v>
      </c>
      <c r="N441" s="2">
        <v>2.7199074074074073E-2</v>
      </c>
      <c r="O441" s="2">
        <v>0</v>
      </c>
      <c r="P441" s="2">
        <v>0</v>
      </c>
    </row>
    <row r="442" spans="1:16" x14ac:dyDescent="0.3">
      <c r="A442" s="1">
        <v>44718.746458333335</v>
      </c>
      <c r="B442" s="1">
        <v>44718.782824074071</v>
      </c>
      <c r="C442">
        <v>27.24</v>
      </c>
      <c r="D442" s="2">
        <v>1.8912037037037036E-2</v>
      </c>
      <c r="E442">
        <v>5.2939999999999996</v>
      </c>
      <c r="F442" s="2">
        <v>3.5648148148148154E-3</v>
      </c>
      <c r="G442">
        <v>11.66</v>
      </c>
      <c r="H442">
        <v>18.14</v>
      </c>
      <c r="I442">
        <v>170</v>
      </c>
      <c r="J442">
        <v>133</v>
      </c>
      <c r="K442">
        <v>356</v>
      </c>
      <c r="L442" s="2">
        <v>2.673611111111111E-3</v>
      </c>
      <c r="M442" s="2">
        <v>1.7662037037037035E-2</v>
      </c>
      <c r="N442" s="2">
        <v>0</v>
      </c>
      <c r="O442" s="2">
        <v>0</v>
      </c>
      <c r="P442" s="2">
        <v>0</v>
      </c>
    </row>
    <row r="443" spans="1:16" x14ac:dyDescent="0.3">
      <c r="A443" s="1">
        <v>44719.90179398148</v>
      </c>
      <c r="B443" s="1">
        <v>44719.928333333337</v>
      </c>
      <c r="C443">
        <v>38.22</v>
      </c>
      <c r="D443" s="2">
        <v>2.6539351851851852E-2</v>
      </c>
      <c r="E443">
        <v>8.1229999999999993</v>
      </c>
      <c r="F443" s="2">
        <v>3.2638888888888891E-3</v>
      </c>
      <c r="G443">
        <v>12.75</v>
      </c>
      <c r="H443">
        <v>15.96</v>
      </c>
      <c r="I443">
        <v>170</v>
      </c>
      <c r="J443">
        <v>148</v>
      </c>
      <c r="K443">
        <v>591</v>
      </c>
      <c r="L443" s="2">
        <v>2.9050925925925928E-3</v>
      </c>
      <c r="M443" s="2">
        <v>1.5844907407407408E-2</v>
      </c>
      <c r="N443" s="2">
        <v>0</v>
      </c>
      <c r="O443" s="2">
        <v>0</v>
      </c>
      <c r="P443" s="2">
        <v>0</v>
      </c>
    </row>
    <row r="444" spans="1:16" x14ac:dyDescent="0.3">
      <c r="A444" s="1">
        <v>44722.734571759262</v>
      </c>
      <c r="B444" s="1">
        <v>44722.75440972222</v>
      </c>
      <c r="C444">
        <v>28.57</v>
      </c>
      <c r="D444" s="2">
        <v>1.9837962962962963E-2</v>
      </c>
      <c r="E444">
        <v>6.2960000000000003</v>
      </c>
      <c r="F444" s="2">
        <v>3.1481481481481482E-3</v>
      </c>
      <c r="G444">
        <v>13.22</v>
      </c>
      <c r="H444">
        <v>18.850000000000001</v>
      </c>
      <c r="I444">
        <v>172</v>
      </c>
      <c r="J444">
        <v>155</v>
      </c>
      <c r="K444">
        <v>452</v>
      </c>
      <c r="L444" s="2">
        <v>2.9745370370370373E-3</v>
      </c>
      <c r="M444" s="2">
        <v>1.5601851851851851E-2</v>
      </c>
      <c r="N444" s="2">
        <v>0</v>
      </c>
      <c r="O444" s="2">
        <v>0</v>
      </c>
      <c r="P444" s="2">
        <v>0</v>
      </c>
    </row>
    <row r="445" spans="1:16" x14ac:dyDescent="0.3">
      <c r="A445" s="1">
        <v>44723.938564814816</v>
      </c>
      <c r="B445" s="1">
        <v>44723.974895833337</v>
      </c>
      <c r="C445">
        <v>52.15</v>
      </c>
      <c r="D445" s="2">
        <v>3.6203703703703703E-2</v>
      </c>
      <c r="E445">
        <v>10.409000000000001</v>
      </c>
      <c r="F445" s="2">
        <v>3.472222222222222E-3</v>
      </c>
      <c r="G445">
        <v>11.98</v>
      </c>
      <c r="H445">
        <v>16.59</v>
      </c>
      <c r="I445">
        <v>162</v>
      </c>
      <c r="J445">
        <v>150</v>
      </c>
      <c r="K445">
        <v>788</v>
      </c>
      <c r="L445" s="2">
        <v>3.1134259259259257E-3</v>
      </c>
      <c r="M445" s="2">
        <v>1.6747685185185185E-2</v>
      </c>
      <c r="N445" s="2">
        <v>3.4675925925925923E-2</v>
      </c>
      <c r="O445" s="2">
        <v>0</v>
      </c>
      <c r="P445" s="2">
        <v>0</v>
      </c>
    </row>
    <row r="446" spans="1:16" x14ac:dyDescent="0.3">
      <c r="A446" s="1">
        <v>44725.915625000001</v>
      </c>
      <c r="B446" s="1">
        <v>44725.949293981481</v>
      </c>
      <c r="C446">
        <v>48.48</v>
      </c>
      <c r="D446" s="2">
        <v>3.366898148148148E-2</v>
      </c>
      <c r="E446">
        <v>10.31</v>
      </c>
      <c r="F446" s="2">
        <v>3.2638888888888891E-3</v>
      </c>
      <c r="G446">
        <v>12.76</v>
      </c>
      <c r="H446">
        <v>17.47</v>
      </c>
      <c r="I446">
        <v>160</v>
      </c>
      <c r="J446">
        <v>140</v>
      </c>
      <c r="K446">
        <v>708</v>
      </c>
      <c r="L446" s="2">
        <v>2.9166666666666668E-3</v>
      </c>
      <c r="M446" s="2">
        <v>1.5555555555555553E-2</v>
      </c>
      <c r="N446" s="2">
        <v>3.2546296296296295E-2</v>
      </c>
      <c r="O446" s="2">
        <v>0</v>
      </c>
      <c r="P446" s="2">
        <v>0</v>
      </c>
    </row>
    <row r="447" spans="1:16" x14ac:dyDescent="0.3">
      <c r="A447" s="1">
        <v>44729.287824074076</v>
      </c>
      <c r="B447" s="1">
        <v>44729.326412037037</v>
      </c>
      <c r="C447">
        <v>55.57</v>
      </c>
      <c r="D447" s="2">
        <v>3.858796296296297E-2</v>
      </c>
      <c r="E447">
        <v>11.557</v>
      </c>
      <c r="F447" s="2">
        <v>3.3333333333333335E-3</v>
      </c>
      <c r="G447">
        <v>12.48</v>
      </c>
      <c r="H447">
        <v>16.43</v>
      </c>
      <c r="I447">
        <v>168</v>
      </c>
      <c r="J447">
        <v>154</v>
      </c>
      <c r="K447">
        <v>858</v>
      </c>
      <c r="L447" s="2">
        <v>2.9282407407407412E-3</v>
      </c>
      <c r="M447" s="2">
        <v>1.5960648148148151E-2</v>
      </c>
      <c r="N447" s="2">
        <v>3.2997685185185185E-2</v>
      </c>
      <c r="O447" s="2">
        <v>0</v>
      </c>
      <c r="P447" s="2">
        <v>0</v>
      </c>
    </row>
    <row r="448" spans="1:16" x14ac:dyDescent="0.3">
      <c r="A448" s="1">
        <v>44730.967569444445</v>
      </c>
      <c r="B448" s="1">
        <v>44731.005127314813</v>
      </c>
      <c r="C448">
        <v>53.84</v>
      </c>
      <c r="D448" s="2">
        <v>3.7384259259259263E-2</v>
      </c>
      <c r="E448">
        <v>10.656000000000001</v>
      </c>
      <c r="F448" s="2">
        <v>3.5069444444444445E-3</v>
      </c>
      <c r="G448">
        <v>11.88</v>
      </c>
      <c r="H448">
        <v>15.32</v>
      </c>
      <c r="I448">
        <v>162</v>
      </c>
      <c r="J448">
        <v>149</v>
      </c>
      <c r="K448">
        <v>792</v>
      </c>
      <c r="L448" s="2">
        <v>3.3217592592592591E-3</v>
      </c>
      <c r="M448" s="2">
        <v>1.7314814814814814E-2</v>
      </c>
      <c r="N448" s="2">
        <v>3.4895833333333334E-2</v>
      </c>
      <c r="O448" s="2">
        <v>0</v>
      </c>
      <c r="P448" s="2">
        <v>0</v>
      </c>
    </row>
    <row r="449" spans="1:16" x14ac:dyDescent="0.3">
      <c r="A449" s="1">
        <v>44732.74324074074</v>
      </c>
      <c r="B449" s="1">
        <v>44732.761087962965</v>
      </c>
      <c r="C449">
        <v>25.59</v>
      </c>
      <c r="D449" s="2">
        <v>1.7766203703703704E-2</v>
      </c>
      <c r="E449">
        <v>6.0190000000000001</v>
      </c>
      <c r="F449" s="2">
        <v>2.9513888888888888E-3</v>
      </c>
      <c r="G449">
        <v>14.11</v>
      </c>
      <c r="H449">
        <v>15.96</v>
      </c>
      <c r="I449">
        <v>181</v>
      </c>
      <c r="J449">
        <v>158</v>
      </c>
      <c r="K449">
        <v>421</v>
      </c>
      <c r="L449" s="2">
        <v>2.6967592592592594E-3</v>
      </c>
      <c r="M449" s="2">
        <v>1.4212962962962962E-2</v>
      </c>
      <c r="N449" s="2">
        <v>0</v>
      </c>
      <c r="O449" s="2">
        <v>0</v>
      </c>
      <c r="P449" s="2">
        <v>0</v>
      </c>
    </row>
    <row r="450" spans="1:16" x14ac:dyDescent="0.3">
      <c r="A450" s="1">
        <v>44734.888356481482</v>
      </c>
      <c r="B450" s="1">
        <v>44734.932511574072</v>
      </c>
      <c r="C450">
        <v>53.57</v>
      </c>
      <c r="D450" s="2">
        <v>3.7199074074074072E-2</v>
      </c>
      <c r="E450">
        <v>11.273999999999999</v>
      </c>
      <c r="F450" s="2">
        <v>3.2986111111111111E-3</v>
      </c>
      <c r="G450">
        <v>12.63</v>
      </c>
      <c r="H450">
        <v>17.16</v>
      </c>
      <c r="I450">
        <v>169</v>
      </c>
      <c r="J450">
        <v>148</v>
      </c>
      <c r="K450">
        <v>801</v>
      </c>
      <c r="L450" s="2">
        <v>2.9629629629629628E-3</v>
      </c>
      <c r="M450" s="2">
        <v>1.6006944444444445E-2</v>
      </c>
      <c r="N450" s="2">
        <v>3.2569444444444443E-2</v>
      </c>
      <c r="O450" s="2">
        <v>0</v>
      </c>
      <c r="P450" s="2">
        <v>0</v>
      </c>
    </row>
    <row r="451" spans="1:16" x14ac:dyDescent="0.3">
      <c r="A451" s="1">
        <v>44736.724016203705</v>
      </c>
      <c r="B451" s="1">
        <v>44736.742118055554</v>
      </c>
      <c r="C451">
        <v>24.21</v>
      </c>
      <c r="D451" s="2">
        <v>1.6805555555555556E-2</v>
      </c>
      <c r="E451">
        <v>5.109</v>
      </c>
      <c r="F451" s="2">
        <v>3.2870370370370367E-3</v>
      </c>
      <c r="G451">
        <v>12.66</v>
      </c>
      <c r="H451">
        <v>17.37</v>
      </c>
      <c r="I451">
        <v>168</v>
      </c>
      <c r="J451">
        <v>146</v>
      </c>
      <c r="K451">
        <v>362</v>
      </c>
      <c r="L451" s="2">
        <v>3.0555555555555557E-3</v>
      </c>
      <c r="M451" s="2">
        <v>1.6446759259259262E-2</v>
      </c>
      <c r="N451" s="2">
        <v>0</v>
      </c>
      <c r="O451" s="2">
        <v>0</v>
      </c>
      <c r="P451" s="2">
        <v>0</v>
      </c>
    </row>
    <row r="452" spans="1:16" x14ac:dyDescent="0.3">
      <c r="A452" s="1">
        <v>44737.939305555556</v>
      </c>
      <c r="B452" s="1">
        <v>44737.959560185183</v>
      </c>
      <c r="C452">
        <v>29.17</v>
      </c>
      <c r="D452" s="2">
        <v>2.0254629629629629E-2</v>
      </c>
      <c r="E452">
        <v>6.0490000000000004</v>
      </c>
      <c r="F452" s="2">
        <v>3.3449074074074071E-3</v>
      </c>
      <c r="G452">
        <v>12.44</v>
      </c>
      <c r="H452">
        <v>17.600000000000001</v>
      </c>
      <c r="I452">
        <v>172</v>
      </c>
      <c r="J452">
        <v>149</v>
      </c>
      <c r="K452">
        <v>448</v>
      </c>
      <c r="L452" s="2">
        <v>3.1481481481481482E-3</v>
      </c>
      <c r="M452" s="2">
        <v>1.6666666666666666E-2</v>
      </c>
      <c r="N452" s="2">
        <v>0</v>
      </c>
      <c r="O452" s="2">
        <v>0</v>
      </c>
      <c r="P452" s="2">
        <v>0</v>
      </c>
    </row>
    <row r="453" spans="1:16" x14ac:dyDescent="0.3">
      <c r="A453" s="1">
        <v>44739.74490740741</v>
      </c>
      <c r="B453" s="1">
        <v>44739.779317129629</v>
      </c>
      <c r="C453">
        <v>48.6</v>
      </c>
      <c r="D453" s="2">
        <v>3.3738425925925929E-2</v>
      </c>
      <c r="E453">
        <v>9.3049999999999997</v>
      </c>
      <c r="F453" s="2">
        <v>3.6226851851851854E-3</v>
      </c>
      <c r="G453">
        <v>11.49</v>
      </c>
      <c r="H453">
        <v>35.54</v>
      </c>
      <c r="I453">
        <v>170</v>
      </c>
      <c r="J453">
        <v>145</v>
      </c>
      <c r="K453">
        <v>680</v>
      </c>
      <c r="L453" s="2">
        <v>2.8009259259259259E-3</v>
      </c>
      <c r="M453" s="2">
        <v>1.6805555555555556E-2</v>
      </c>
      <c r="N453" s="2">
        <v>0</v>
      </c>
      <c r="O453" s="2">
        <v>0</v>
      </c>
      <c r="P453" s="2">
        <v>0</v>
      </c>
    </row>
    <row r="454" spans="1:16" x14ac:dyDescent="0.3">
      <c r="A454" s="1">
        <v>44742.879224537035</v>
      </c>
      <c r="B454" s="1">
        <v>44742.928506944445</v>
      </c>
      <c r="C454">
        <v>69.400000000000006</v>
      </c>
      <c r="D454" s="2">
        <v>4.8182870370370369E-2</v>
      </c>
      <c r="E454">
        <v>14.061</v>
      </c>
      <c r="F454" s="2">
        <v>3.425925925925926E-3</v>
      </c>
      <c r="G454">
        <v>12.16</v>
      </c>
      <c r="H454">
        <v>14.71</v>
      </c>
      <c r="I454">
        <v>162</v>
      </c>
      <c r="J454">
        <v>149</v>
      </c>
      <c r="K454">
        <v>1020</v>
      </c>
      <c r="L454" s="2">
        <v>3.2291666666666666E-3</v>
      </c>
      <c r="M454" s="2">
        <v>1.6724537037037034E-2</v>
      </c>
      <c r="N454" s="2">
        <v>3.3912037037037039E-2</v>
      </c>
      <c r="O454" s="2">
        <v>0</v>
      </c>
      <c r="P454" s="2">
        <v>0</v>
      </c>
    </row>
    <row r="455" spans="1:16" x14ac:dyDescent="0.3">
      <c r="A455" s="1">
        <v>44744.944039351853</v>
      </c>
      <c r="B455" s="1">
        <v>44744.98951388889</v>
      </c>
      <c r="C455">
        <v>53.12</v>
      </c>
      <c r="D455" s="2">
        <v>3.6886574074074079E-2</v>
      </c>
      <c r="E455">
        <v>10.321</v>
      </c>
      <c r="F455" s="2">
        <v>3.5648148148148154E-3</v>
      </c>
      <c r="G455">
        <v>11.66</v>
      </c>
      <c r="H455">
        <v>16.43</v>
      </c>
      <c r="I455">
        <v>153</v>
      </c>
      <c r="J455">
        <v>138</v>
      </c>
      <c r="K455">
        <v>742</v>
      </c>
      <c r="L455" s="2">
        <v>3.1712962962962958E-3</v>
      </c>
      <c r="M455" s="2">
        <v>1.7511574074074072E-2</v>
      </c>
      <c r="N455" s="2">
        <v>3.5624999999999997E-2</v>
      </c>
      <c r="O455" s="2">
        <v>0</v>
      </c>
      <c r="P455" s="2">
        <v>0</v>
      </c>
    </row>
    <row r="456" spans="1:16" x14ac:dyDescent="0.3">
      <c r="A456" s="1">
        <v>44746.74423611111</v>
      </c>
      <c r="B456" s="1">
        <v>44746.776087962964</v>
      </c>
      <c r="C456">
        <v>40.97</v>
      </c>
      <c r="D456" s="2">
        <v>2.8437500000000001E-2</v>
      </c>
      <c r="E456">
        <v>8.0129999999999999</v>
      </c>
      <c r="F456" s="2">
        <v>3.5416666666666665E-3</v>
      </c>
      <c r="G456">
        <v>11.74</v>
      </c>
      <c r="H456">
        <v>19.55</v>
      </c>
      <c r="I456">
        <v>174</v>
      </c>
      <c r="J456">
        <v>147</v>
      </c>
      <c r="K456">
        <v>553</v>
      </c>
      <c r="L456" s="2">
        <v>3.0555555555555557E-3</v>
      </c>
      <c r="M456" s="2">
        <v>1.6238425925925924E-2</v>
      </c>
      <c r="N456" s="2">
        <v>0</v>
      </c>
      <c r="O456" s="2">
        <v>0</v>
      </c>
      <c r="P456" s="2">
        <v>0</v>
      </c>
    </row>
    <row r="457" spans="1:16" x14ac:dyDescent="0.3">
      <c r="A457" s="1">
        <v>44747.909062500003</v>
      </c>
      <c r="B457" s="1">
        <v>44747.946261574078</v>
      </c>
      <c r="C457">
        <v>53.57</v>
      </c>
      <c r="D457" s="2">
        <v>3.7199074074074072E-2</v>
      </c>
      <c r="E457">
        <v>10.522</v>
      </c>
      <c r="F457" s="2">
        <v>3.530092592592592E-3</v>
      </c>
      <c r="G457">
        <v>11.78</v>
      </c>
      <c r="H457">
        <v>16.73</v>
      </c>
      <c r="I457">
        <v>171</v>
      </c>
      <c r="J457">
        <v>144</v>
      </c>
      <c r="K457">
        <v>758</v>
      </c>
      <c r="L457" s="2">
        <v>3.0324074074074073E-3</v>
      </c>
      <c r="M457" s="2">
        <v>1.6944444444444443E-2</v>
      </c>
      <c r="N457" s="2">
        <v>3.5185185185185187E-2</v>
      </c>
      <c r="O457" s="2">
        <v>0</v>
      </c>
      <c r="P457" s="2">
        <v>0</v>
      </c>
    </row>
    <row r="458" spans="1:16" x14ac:dyDescent="0.3">
      <c r="A458" s="1">
        <v>44750.755532407406</v>
      </c>
      <c r="B458" s="1">
        <v>44750.770381944443</v>
      </c>
      <c r="C458">
        <v>21.39</v>
      </c>
      <c r="D458" s="2">
        <v>1.4849537037037036E-2</v>
      </c>
      <c r="E458">
        <v>5.1100000000000003</v>
      </c>
      <c r="F458" s="2">
        <v>2.9050925925925928E-3</v>
      </c>
      <c r="G458">
        <v>14.33</v>
      </c>
      <c r="H458">
        <v>15.82</v>
      </c>
      <c r="I458">
        <v>173</v>
      </c>
      <c r="J458">
        <v>159</v>
      </c>
      <c r="K458">
        <v>349</v>
      </c>
      <c r="L458" s="2">
        <v>2.7662037037037034E-3</v>
      </c>
      <c r="M458" s="2">
        <v>1.4467592592592593E-2</v>
      </c>
      <c r="N458" s="2">
        <v>0</v>
      </c>
      <c r="O458" s="2">
        <v>0</v>
      </c>
      <c r="P458" s="2">
        <v>0</v>
      </c>
    </row>
    <row r="459" spans="1:16" x14ac:dyDescent="0.3">
      <c r="A459" s="1">
        <v>44751.913113425922</v>
      </c>
      <c r="B459" s="1">
        <v>44751.949317129627</v>
      </c>
      <c r="C459">
        <v>52.13</v>
      </c>
      <c r="D459" s="2">
        <v>3.619212962962963E-2</v>
      </c>
      <c r="E459">
        <v>10.228999999999999</v>
      </c>
      <c r="F459" s="2">
        <v>3.530092592592592E-3</v>
      </c>
      <c r="G459">
        <v>11.77</v>
      </c>
      <c r="H459">
        <v>13.44</v>
      </c>
      <c r="I459">
        <v>159</v>
      </c>
      <c r="J459">
        <v>140</v>
      </c>
      <c r="K459">
        <v>731</v>
      </c>
      <c r="L459" s="2">
        <v>3.2638888888888891E-3</v>
      </c>
      <c r="M459" s="2">
        <v>1.6909722222222225E-2</v>
      </c>
      <c r="N459" s="2">
        <v>3.5289351851851856E-2</v>
      </c>
      <c r="O459" s="2">
        <v>0</v>
      </c>
      <c r="P459" s="2">
        <v>0</v>
      </c>
    </row>
    <row r="460" spans="1:16" x14ac:dyDescent="0.3">
      <c r="A460" s="1">
        <v>44753.747743055559</v>
      </c>
      <c r="B460" s="1">
        <v>44753.780972222223</v>
      </c>
      <c r="C460">
        <v>45.07</v>
      </c>
      <c r="D460" s="2">
        <v>3.1296296296296301E-2</v>
      </c>
      <c r="E460">
        <v>8.2059999999999995</v>
      </c>
      <c r="F460" s="2">
        <v>3.8078703703703707E-3</v>
      </c>
      <c r="G460">
        <v>10.92</v>
      </c>
      <c r="H460">
        <v>18.68</v>
      </c>
      <c r="I460">
        <v>168</v>
      </c>
      <c r="J460">
        <v>142</v>
      </c>
      <c r="K460">
        <v>613</v>
      </c>
      <c r="L460" s="2">
        <v>3.530092592592592E-3</v>
      </c>
      <c r="M460" s="2">
        <v>1.8599537037037036E-2</v>
      </c>
      <c r="N460" s="2">
        <v>0</v>
      </c>
      <c r="O460" s="2">
        <v>0</v>
      </c>
      <c r="P460" s="2">
        <v>0</v>
      </c>
    </row>
    <row r="461" spans="1:16" x14ac:dyDescent="0.3">
      <c r="A461" s="1">
        <v>44756.747233796297</v>
      </c>
      <c r="B461" s="1">
        <v>44756.76421296296</v>
      </c>
      <c r="C461">
        <v>24.45</v>
      </c>
      <c r="D461" s="2">
        <v>1.6967592592592593E-2</v>
      </c>
      <c r="E461">
        <v>4.766</v>
      </c>
      <c r="F461" s="2">
        <v>3.0787037037037037E-3</v>
      </c>
      <c r="G461">
        <v>13.52</v>
      </c>
      <c r="H461">
        <v>17.100000000000001</v>
      </c>
      <c r="I461">
        <v>161</v>
      </c>
      <c r="J461">
        <v>144</v>
      </c>
      <c r="K461">
        <v>442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</row>
    <row r="462" spans="1:16" x14ac:dyDescent="0.3">
      <c r="A462" s="1">
        <v>44757.727013888885</v>
      </c>
      <c r="B462" s="1">
        <v>44757.763287037036</v>
      </c>
      <c r="C462">
        <v>50.38</v>
      </c>
      <c r="D462" s="2">
        <v>3.4976851851851849E-2</v>
      </c>
      <c r="E462">
        <v>10.253</v>
      </c>
      <c r="F462" s="2">
        <v>3.4027777777777784E-3</v>
      </c>
      <c r="G462">
        <v>12.21</v>
      </c>
      <c r="H462">
        <v>16.329999999999998</v>
      </c>
      <c r="I462">
        <v>166</v>
      </c>
      <c r="J462">
        <v>145</v>
      </c>
      <c r="K462">
        <v>733</v>
      </c>
      <c r="L462" s="2">
        <v>3.1249999999999997E-3</v>
      </c>
      <c r="M462" s="2">
        <v>1.6562500000000001E-2</v>
      </c>
      <c r="N462" s="2">
        <v>3.408564814814815E-2</v>
      </c>
      <c r="O462" s="2">
        <v>0</v>
      </c>
      <c r="P462" s="2">
        <v>0</v>
      </c>
    </row>
    <row r="463" spans="1:16" x14ac:dyDescent="0.3">
      <c r="A463" s="1">
        <v>44759.00440972222</v>
      </c>
      <c r="B463" s="1">
        <v>44759.045868055553</v>
      </c>
      <c r="C463">
        <v>51.58</v>
      </c>
      <c r="D463" s="2">
        <v>3.5810185185185188E-2</v>
      </c>
      <c r="E463">
        <v>11.039</v>
      </c>
      <c r="F463" s="2">
        <v>3.2407407407407406E-3</v>
      </c>
      <c r="G463">
        <v>12.84</v>
      </c>
      <c r="H463">
        <v>14.34</v>
      </c>
      <c r="I463">
        <v>166</v>
      </c>
      <c r="J463">
        <v>154</v>
      </c>
      <c r="K463">
        <v>792</v>
      </c>
      <c r="L463" s="2">
        <v>3.0902777777777782E-3</v>
      </c>
      <c r="M463" s="2">
        <v>1.5949074074074074E-2</v>
      </c>
      <c r="N463" s="2">
        <v>3.2280092592592589E-2</v>
      </c>
      <c r="O463" s="2">
        <v>0</v>
      </c>
      <c r="P463" s="2">
        <v>0</v>
      </c>
    </row>
    <row r="464" spans="1:16" x14ac:dyDescent="0.3">
      <c r="A464" s="1">
        <v>44760.743738425925</v>
      </c>
      <c r="B464" s="1">
        <v>44760.781076388892</v>
      </c>
      <c r="C464">
        <v>45.43</v>
      </c>
      <c r="D464" s="2">
        <v>3.1539351851851853E-2</v>
      </c>
      <c r="E464">
        <v>10.032999999999999</v>
      </c>
      <c r="F464" s="2">
        <v>3.1365740740740742E-3</v>
      </c>
      <c r="G464">
        <v>13.25</v>
      </c>
      <c r="H464">
        <v>17.57</v>
      </c>
      <c r="I464">
        <v>180</v>
      </c>
      <c r="J464">
        <v>151</v>
      </c>
      <c r="K464">
        <v>697</v>
      </c>
      <c r="L464" s="2">
        <v>2.685185185185185E-3</v>
      </c>
      <c r="M464" s="2">
        <v>1.4074074074074074E-2</v>
      </c>
      <c r="N464" s="2">
        <v>3.1400462962962963E-2</v>
      </c>
      <c r="O464" s="2">
        <v>0</v>
      </c>
      <c r="P464" s="2">
        <v>0</v>
      </c>
    </row>
    <row r="465" spans="1:16" x14ac:dyDescent="0.3">
      <c r="A465" s="1">
        <v>44761.880208333336</v>
      </c>
      <c r="B465" s="1">
        <v>44761.897118055553</v>
      </c>
      <c r="C465">
        <v>24.36</v>
      </c>
      <c r="D465" s="2">
        <v>1.6909722222222225E-2</v>
      </c>
      <c r="E465">
        <v>5.2720000000000002</v>
      </c>
      <c r="F465" s="2">
        <v>3.2060185185185191E-3</v>
      </c>
      <c r="G465">
        <v>12.99</v>
      </c>
      <c r="H465">
        <v>16.46</v>
      </c>
      <c r="I465">
        <v>180</v>
      </c>
      <c r="J465">
        <v>153</v>
      </c>
      <c r="K465">
        <v>376</v>
      </c>
      <c r="L465" s="2">
        <v>2.7199074074074074E-3</v>
      </c>
      <c r="M465" s="2">
        <v>1.5983796296296295E-2</v>
      </c>
      <c r="N465" s="2">
        <v>0</v>
      </c>
      <c r="O465" s="2">
        <v>0</v>
      </c>
      <c r="P465" s="2">
        <v>0</v>
      </c>
    </row>
    <row r="466" spans="1:16" x14ac:dyDescent="0.3">
      <c r="A466" s="1">
        <v>44763.972581018519</v>
      </c>
      <c r="B466" s="1">
        <v>44764.028032407405</v>
      </c>
      <c r="C466">
        <v>79.13</v>
      </c>
      <c r="D466" s="2">
        <v>5.4942129629629632E-2</v>
      </c>
      <c r="E466">
        <v>16.068999999999999</v>
      </c>
      <c r="F466" s="2">
        <v>3.414351851851852E-3</v>
      </c>
      <c r="G466">
        <v>12.18</v>
      </c>
      <c r="H466">
        <v>14.64</v>
      </c>
      <c r="I466">
        <v>170</v>
      </c>
      <c r="J466">
        <v>151</v>
      </c>
      <c r="K466">
        <v>1172</v>
      </c>
      <c r="L466" s="2">
        <v>3.0671296296296297E-3</v>
      </c>
      <c r="M466" s="2">
        <v>1.6782407407407409E-2</v>
      </c>
      <c r="N466" s="2">
        <v>3.3912037037037039E-2</v>
      </c>
      <c r="O466" s="2">
        <v>0</v>
      </c>
      <c r="P466" s="2">
        <v>0</v>
      </c>
    </row>
    <row r="467" spans="1:16" x14ac:dyDescent="0.3">
      <c r="A467" s="1">
        <v>44765.939421296294</v>
      </c>
      <c r="B467" s="1">
        <v>44765.97550925926</v>
      </c>
      <c r="C467">
        <v>51.98</v>
      </c>
      <c r="D467" s="2">
        <v>3.6087962962962968E-2</v>
      </c>
      <c r="E467">
        <v>10.516</v>
      </c>
      <c r="F467" s="2">
        <v>3.425925925925926E-3</v>
      </c>
      <c r="G467">
        <v>12.14</v>
      </c>
      <c r="H467">
        <v>15.79</v>
      </c>
      <c r="I467">
        <v>169</v>
      </c>
      <c r="J467">
        <v>142</v>
      </c>
      <c r="K467">
        <v>730</v>
      </c>
      <c r="L467" s="2">
        <v>2.9513888888888888E-3</v>
      </c>
      <c r="M467" s="2">
        <v>1.5613425925925926E-2</v>
      </c>
      <c r="N467" s="2">
        <v>3.4097222222222223E-2</v>
      </c>
      <c r="O467" s="2">
        <v>0</v>
      </c>
      <c r="P467" s="2">
        <v>0</v>
      </c>
    </row>
    <row r="468" spans="1:16" x14ac:dyDescent="0.3">
      <c r="A468" s="1">
        <v>44767.746053240742</v>
      </c>
      <c r="B468" s="1">
        <v>44767.767847222225</v>
      </c>
      <c r="C468">
        <v>30.98</v>
      </c>
      <c r="D468" s="2">
        <v>2.1516203703703704E-2</v>
      </c>
      <c r="E468">
        <v>7.0620000000000003</v>
      </c>
      <c r="F468" s="2">
        <v>3.0439814814814821E-3</v>
      </c>
      <c r="G468">
        <v>13.68</v>
      </c>
      <c r="H468">
        <v>17.84</v>
      </c>
      <c r="I468">
        <v>174</v>
      </c>
      <c r="J468">
        <v>146</v>
      </c>
      <c r="K468">
        <v>454</v>
      </c>
      <c r="L468" s="2">
        <v>2.5694444444444445E-3</v>
      </c>
      <c r="M468" s="2">
        <v>1.3969907407407408E-2</v>
      </c>
      <c r="N468" s="2">
        <v>0</v>
      </c>
      <c r="O468" s="2">
        <v>0</v>
      </c>
      <c r="P468" s="2">
        <v>0</v>
      </c>
    </row>
    <row r="469" spans="1:16" x14ac:dyDescent="0.3">
      <c r="A469" s="1">
        <v>44768.736851851849</v>
      </c>
      <c r="B469" s="1">
        <v>44768.764525462961</v>
      </c>
      <c r="C469">
        <v>38.93</v>
      </c>
      <c r="D469" s="2">
        <v>2.7025462962962959E-2</v>
      </c>
      <c r="E469">
        <v>8.5679999999999996</v>
      </c>
      <c r="F469" s="2">
        <v>3.1481481481481482E-3</v>
      </c>
      <c r="G469">
        <v>13.21</v>
      </c>
      <c r="H469">
        <v>15.52</v>
      </c>
      <c r="I469">
        <v>176</v>
      </c>
      <c r="J469">
        <v>158</v>
      </c>
      <c r="K469">
        <v>613</v>
      </c>
      <c r="L469" s="2">
        <v>2.8587962962962963E-3</v>
      </c>
      <c r="M469" s="2">
        <v>1.5162037037037036E-2</v>
      </c>
      <c r="N469" s="2">
        <v>0</v>
      </c>
      <c r="O469" s="2">
        <v>0</v>
      </c>
      <c r="P469" s="2">
        <v>0</v>
      </c>
    </row>
    <row r="470" spans="1:16" x14ac:dyDescent="0.3">
      <c r="A470" s="1">
        <v>44770.974074074074</v>
      </c>
      <c r="B470" s="1">
        <v>44771.017314814817</v>
      </c>
      <c r="C470">
        <v>59.86</v>
      </c>
      <c r="D470" s="2">
        <v>4.1562500000000002E-2</v>
      </c>
      <c r="E470">
        <v>12.124000000000001</v>
      </c>
      <c r="F470" s="2">
        <v>3.425925925925926E-3</v>
      </c>
      <c r="G470">
        <v>12.15</v>
      </c>
      <c r="H470">
        <v>15.72</v>
      </c>
      <c r="I470">
        <v>171</v>
      </c>
      <c r="J470">
        <v>153</v>
      </c>
      <c r="K470">
        <v>888</v>
      </c>
      <c r="L470" s="2">
        <v>3.1365740740740742E-3</v>
      </c>
      <c r="M470" s="2">
        <v>1.6932870370370369E-2</v>
      </c>
      <c r="N470" s="2">
        <v>3.3969907407407407E-2</v>
      </c>
      <c r="O470" s="2">
        <v>0</v>
      </c>
      <c r="P470" s="2">
        <v>0</v>
      </c>
    </row>
    <row r="471" spans="1:16" x14ac:dyDescent="0.3">
      <c r="A471" s="1">
        <v>44772.96166666667</v>
      </c>
      <c r="B471" s="1">
        <v>44772.997372685182</v>
      </c>
      <c r="C471">
        <v>51.42</v>
      </c>
      <c r="D471" s="2">
        <v>3.5706018518518519E-2</v>
      </c>
      <c r="E471">
        <v>10.335000000000001</v>
      </c>
      <c r="F471" s="2">
        <v>3.4490740740740745E-3</v>
      </c>
      <c r="G471">
        <v>12.06</v>
      </c>
      <c r="H471">
        <v>14.44</v>
      </c>
      <c r="I471">
        <v>165</v>
      </c>
      <c r="J471">
        <v>152</v>
      </c>
      <c r="K471">
        <v>767</v>
      </c>
      <c r="L471" s="2">
        <v>3.1828703703703702E-3</v>
      </c>
      <c r="M471" s="2">
        <v>1.6805555555555556E-2</v>
      </c>
      <c r="N471" s="2">
        <v>3.4548611111111113E-2</v>
      </c>
      <c r="O471" s="2">
        <v>0</v>
      </c>
      <c r="P471" s="2">
        <v>0</v>
      </c>
    </row>
    <row r="472" spans="1:16" x14ac:dyDescent="0.3">
      <c r="A472" s="1">
        <v>44773.752824074072</v>
      </c>
      <c r="B472" s="1">
        <v>44773.767152777778</v>
      </c>
      <c r="C472">
        <v>20.63</v>
      </c>
      <c r="D472" s="2">
        <v>1.4317129629629631E-2</v>
      </c>
      <c r="E472">
        <v>4.0369999999999999</v>
      </c>
      <c r="F472" s="2">
        <v>3.5648148148148154E-3</v>
      </c>
      <c r="G472">
        <v>11.66</v>
      </c>
      <c r="H472">
        <v>18.98</v>
      </c>
      <c r="I472">
        <v>153</v>
      </c>
      <c r="J472">
        <v>138</v>
      </c>
      <c r="K472">
        <v>327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</row>
    <row r="473" spans="1:16" x14ac:dyDescent="0.3">
      <c r="A473" s="1">
        <v>44774.743668981479</v>
      </c>
      <c r="B473" s="1">
        <v>44774.775439814817</v>
      </c>
      <c r="C473">
        <v>40.24</v>
      </c>
      <c r="D473" s="2">
        <v>2.7939814814814817E-2</v>
      </c>
      <c r="E473">
        <v>8.17</v>
      </c>
      <c r="F473" s="2">
        <v>3.414351851851852E-3</v>
      </c>
      <c r="G473">
        <v>12.18</v>
      </c>
      <c r="H473">
        <v>21.66</v>
      </c>
      <c r="I473">
        <v>180</v>
      </c>
      <c r="J473">
        <v>144</v>
      </c>
      <c r="K473">
        <v>554</v>
      </c>
      <c r="L473" s="2">
        <v>2.8009259259259259E-3</v>
      </c>
      <c r="M473" s="2">
        <v>1.5740740740740743E-2</v>
      </c>
      <c r="N473" s="2">
        <v>0</v>
      </c>
      <c r="O473" s="2">
        <v>0</v>
      </c>
      <c r="P473" s="2">
        <v>0</v>
      </c>
    </row>
    <row r="474" spans="1:16" x14ac:dyDescent="0.3">
      <c r="A474" s="1">
        <v>44776.733784722222</v>
      </c>
      <c r="B474" s="1">
        <v>44776.766018518516</v>
      </c>
      <c r="C474">
        <v>45.48</v>
      </c>
      <c r="D474" s="2">
        <v>3.1585648148148147E-2</v>
      </c>
      <c r="E474">
        <v>10.111000000000001</v>
      </c>
      <c r="F474" s="2">
        <v>3.1134259259259257E-3</v>
      </c>
      <c r="G474">
        <v>13.34</v>
      </c>
      <c r="H474">
        <v>17.16</v>
      </c>
      <c r="I474">
        <v>176</v>
      </c>
      <c r="J474">
        <v>158</v>
      </c>
      <c r="K474">
        <v>711</v>
      </c>
      <c r="L474" s="2">
        <v>2.8703703703703708E-3</v>
      </c>
      <c r="M474" s="2">
        <v>1.5162037037037036E-2</v>
      </c>
      <c r="N474" s="2">
        <v>3.1226851851851853E-2</v>
      </c>
      <c r="O474" s="2">
        <v>0</v>
      </c>
      <c r="P474" s="2">
        <v>0</v>
      </c>
    </row>
    <row r="475" spans="1:16" x14ac:dyDescent="0.3">
      <c r="A475" s="1">
        <v>44781.74486111111</v>
      </c>
      <c r="B475" s="1">
        <v>44781.774884259263</v>
      </c>
      <c r="C475">
        <v>39.229999999999997</v>
      </c>
      <c r="D475" s="2">
        <v>2.7233796296296298E-2</v>
      </c>
      <c r="E475">
        <v>7.0129999999999999</v>
      </c>
      <c r="F475" s="2">
        <v>3.8773148148148143E-3</v>
      </c>
      <c r="G475">
        <v>10.73</v>
      </c>
      <c r="H475">
        <v>21.4</v>
      </c>
      <c r="I475">
        <v>171</v>
      </c>
      <c r="J475">
        <v>143</v>
      </c>
      <c r="K475">
        <v>510</v>
      </c>
      <c r="L475" s="2">
        <v>3.3912037037037036E-3</v>
      </c>
      <c r="M475" s="2">
        <v>1.9050925925925926E-2</v>
      </c>
      <c r="N475" s="2">
        <v>0</v>
      </c>
      <c r="O475" s="2">
        <v>0</v>
      </c>
      <c r="P475" s="2">
        <v>0</v>
      </c>
    </row>
    <row r="476" spans="1:16" x14ac:dyDescent="0.3">
      <c r="A476" s="1">
        <v>44783.913414351853</v>
      </c>
      <c r="B476" s="1">
        <v>44783.955081018517</v>
      </c>
      <c r="C476">
        <v>60.01</v>
      </c>
      <c r="D476" s="2">
        <v>4.1666666666666664E-2</v>
      </c>
      <c r="E476">
        <v>12.728999999999999</v>
      </c>
      <c r="F476" s="2">
        <v>3.2638888888888891E-3</v>
      </c>
      <c r="G476">
        <v>12.73</v>
      </c>
      <c r="H476">
        <v>17.27</v>
      </c>
      <c r="I476">
        <v>173</v>
      </c>
      <c r="J476">
        <v>151</v>
      </c>
      <c r="K476">
        <v>886</v>
      </c>
      <c r="L476" s="2">
        <v>2.9861111111111113E-3</v>
      </c>
      <c r="M476" s="2">
        <v>1.6076388888888887E-2</v>
      </c>
      <c r="N476" s="2">
        <v>3.2395833333333332E-2</v>
      </c>
      <c r="O476" s="2">
        <v>0</v>
      </c>
      <c r="P476" s="2">
        <v>0</v>
      </c>
    </row>
    <row r="477" spans="1:16" x14ac:dyDescent="0.3">
      <c r="A477" s="1">
        <v>44785.725532407407</v>
      </c>
      <c r="B477" s="1">
        <v>44785.750428240739</v>
      </c>
      <c r="C477">
        <v>35.85</v>
      </c>
      <c r="D477" s="2">
        <v>2.4895833333333336E-2</v>
      </c>
      <c r="E477">
        <v>7.593</v>
      </c>
      <c r="F477" s="2">
        <v>3.2754629629629631E-3</v>
      </c>
      <c r="G477">
        <v>12.71</v>
      </c>
      <c r="H477">
        <v>16.09</v>
      </c>
      <c r="I477">
        <v>164</v>
      </c>
      <c r="J477">
        <v>145</v>
      </c>
      <c r="K477">
        <v>514</v>
      </c>
      <c r="L477" s="2">
        <v>2.9282407407407412E-3</v>
      </c>
      <c r="M477" s="2">
        <v>1.6064814814814813E-2</v>
      </c>
      <c r="N477" s="2">
        <v>0</v>
      </c>
      <c r="O477" s="2">
        <v>0</v>
      </c>
      <c r="P477" s="2">
        <v>0</v>
      </c>
    </row>
    <row r="478" spans="1:16" x14ac:dyDescent="0.3">
      <c r="A478" s="1">
        <v>44786.92559027778</v>
      </c>
      <c r="B478" s="1">
        <v>44786.971354166664</v>
      </c>
      <c r="C478">
        <v>65.819999999999993</v>
      </c>
      <c r="D478" s="2">
        <v>4.5706018518518521E-2</v>
      </c>
      <c r="E478">
        <v>13.103999999999999</v>
      </c>
      <c r="F478" s="2">
        <v>3.483796296296296E-3</v>
      </c>
      <c r="G478">
        <v>11.95</v>
      </c>
      <c r="H478">
        <v>15.55</v>
      </c>
      <c r="I478">
        <v>167</v>
      </c>
      <c r="J478">
        <v>140</v>
      </c>
      <c r="K478">
        <v>908</v>
      </c>
      <c r="L478" s="2">
        <v>3.0902777777777782E-3</v>
      </c>
      <c r="M478" s="2">
        <v>1.6828703703703703E-2</v>
      </c>
      <c r="N478" s="2">
        <v>3.4560185185185187E-2</v>
      </c>
      <c r="O478" s="2">
        <v>0</v>
      </c>
      <c r="P478" s="2">
        <v>0</v>
      </c>
    </row>
    <row r="479" spans="1:16" x14ac:dyDescent="0.3">
      <c r="A479" s="1">
        <v>44788.745243055557</v>
      </c>
      <c r="B479" s="1">
        <v>44788.775902777779</v>
      </c>
      <c r="C479">
        <v>38.11</v>
      </c>
      <c r="D479" s="2">
        <v>2.6458333333333334E-2</v>
      </c>
      <c r="E479">
        <v>8.0419999999999998</v>
      </c>
      <c r="F479" s="2">
        <v>3.2870370370370367E-3</v>
      </c>
      <c r="G479">
        <v>12.66</v>
      </c>
      <c r="H479">
        <v>19.68</v>
      </c>
      <c r="I479">
        <v>178</v>
      </c>
      <c r="J479">
        <v>140</v>
      </c>
      <c r="K479">
        <v>540</v>
      </c>
      <c r="L479" s="2">
        <v>2.4421296296296296E-3</v>
      </c>
      <c r="M479" s="2">
        <v>1.5347222222222222E-2</v>
      </c>
      <c r="N479" s="2">
        <v>0</v>
      </c>
      <c r="O479" s="2">
        <v>0</v>
      </c>
      <c r="P479" s="2">
        <v>0</v>
      </c>
    </row>
    <row r="480" spans="1:16" x14ac:dyDescent="0.3">
      <c r="A480" s="1">
        <v>44790.865543981483</v>
      </c>
      <c r="B480" s="1">
        <v>44790.905347222222</v>
      </c>
      <c r="C480">
        <v>57.32</v>
      </c>
      <c r="D480" s="2">
        <v>3.9803240740740743E-2</v>
      </c>
      <c r="E480">
        <v>13.263999999999999</v>
      </c>
      <c r="F480" s="2">
        <v>2.9976851851851848E-3</v>
      </c>
      <c r="G480">
        <v>13.88</v>
      </c>
      <c r="H480">
        <v>17.43</v>
      </c>
      <c r="I480">
        <v>177</v>
      </c>
      <c r="J480">
        <v>161</v>
      </c>
      <c r="K480">
        <v>919</v>
      </c>
      <c r="L480" s="2">
        <v>2.6620370370370374E-3</v>
      </c>
      <c r="M480" s="2">
        <v>1.4467592592592593E-2</v>
      </c>
      <c r="N480" s="2">
        <v>2.974537037037037E-2</v>
      </c>
      <c r="O480" s="2">
        <v>0</v>
      </c>
      <c r="P480" s="2">
        <v>0</v>
      </c>
    </row>
    <row r="481" spans="1:16" x14ac:dyDescent="0.3">
      <c r="A481" s="1">
        <v>44791.920763888891</v>
      </c>
      <c r="B481" s="1">
        <v>44791.955277777779</v>
      </c>
      <c r="C481">
        <v>49.71</v>
      </c>
      <c r="D481" s="2">
        <v>3.4513888888888893E-2</v>
      </c>
      <c r="E481">
        <v>10.164</v>
      </c>
      <c r="F481" s="2">
        <v>3.3912037037037036E-3</v>
      </c>
      <c r="G481">
        <v>12.27</v>
      </c>
      <c r="H481">
        <v>17.2</v>
      </c>
      <c r="I481">
        <v>165</v>
      </c>
      <c r="J481">
        <v>146</v>
      </c>
      <c r="K481">
        <v>707</v>
      </c>
      <c r="L481" s="2">
        <v>3.0902777777777782E-3</v>
      </c>
      <c r="M481" s="2">
        <v>1.6655092592592593E-2</v>
      </c>
      <c r="N481" s="2">
        <v>3.3981481481481481E-2</v>
      </c>
      <c r="O481" s="2">
        <v>0</v>
      </c>
      <c r="P481" s="2">
        <v>0</v>
      </c>
    </row>
    <row r="482" spans="1:16" x14ac:dyDescent="0.3">
      <c r="A482" s="1">
        <v>44793.935057870367</v>
      </c>
      <c r="B482" s="1">
        <v>44793.970648148148</v>
      </c>
      <c r="C482">
        <v>51.25</v>
      </c>
      <c r="D482" s="2">
        <v>3.5590277777777776E-2</v>
      </c>
      <c r="E482">
        <v>10.029999999999999</v>
      </c>
      <c r="F482" s="2">
        <v>3.5416666666666665E-3</v>
      </c>
      <c r="G482">
        <v>11.74</v>
      </c>
      <c r="H482">
        <v>13.81</v>
      </c>
      <c r="I482">
        <v>164</v>
      </c>
      <c r="J482">
        <v>142</v>
      </c>
      <c r="K482">
        <v>725</v>
      </c>
      <c r="L482" s="2">
        <v>3.3333333333333335E-3</v>
      </c>
      <c r="M482" s="2">
        <v>1.7372685185185185E-2</v>
      </c>
      <c r="N482" s="2">
        <v>3.5486111111111114E-2</v>
      </c>
      <c r="O482" s="2">
        <v>0</v>
      </c>
      <c r="P482" s="2">
        <v>0</v>
      </c>
    </row>
    <row r="483" spans="1:16" x14ac:dyDescent="0.3">
      <c r="A483" s="1">
        <v>44795.742766203701</v>
      </c>
      <c r="B483" s="1">
        <v>44795.776689814818</v>
      </c>
      <c r="C483">
        <v>42.08</v>
      </c>
      <c r="D483" s="2">
        <v>2.9224537037037038E-2</v>
      </c>
      <c r="E483">
        <v>8.0129999999999999</v>
      </c>
      <c r="F483" s="2">
        <v>3.645833333333333E-3</v>
      </c>
      <c r="G483">
        <v>11.42</v>
      </c>
      <c r="H483">
        <v>19.309999999999999</v>
      </c>
      <c r="I483">
        <v>162</v>
      </c>
      <c r="J483">
        <v>134</v>
      </c>
      <c r="K483">
        <v>557</v>
      </c>
      <c r="L483" s="2">
        <v>3.1597222222222222E-3</v>
      </c>
      <c r="M483" s="2">
        <v>1.7152777777777777E-2</v>
      </c>
      <c r="N483" s="2">
        <v>0</v>
      </c>
      <c r="O483" s="2">
        <v>0</v>
      </c>
      <c r="P483" s="2">
        <v>0</v>
      </c>
    </row>
    <row r="484" spans="1:16" x14ac:dyDescent="0.3">
      <c r="A484" s="1">
        <v>44798.658391203702</v>
      </c>
      <c r="B484" s="1">
        <v>44798.676226851851</v>
      </c>
      <c r="C484">
        <v>25.69</v>
      </c>
      <c r="D484" s="2">
        <v>1.7835648148148149E-2</v>
      </c>
      <c r="E484">
        <v>5.1859999999999999</v>
      </c>
      <c r="F484" s="2">
        <v>3.4375E-3</v>
      </c>
      <c r="G484">
        <v>12.11</v>
      </c>
      <c r="H484">
        <v>20.149999999999999</v>
      </c>
      <c r="I484">
        <v>151</v>
      </c>
      <c r="J484">
        <v>138</v>
      </c>
      <c r="K484">
        <v>348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</row>
    <row r="485" spans="1:16" x14ac:dyDescent="0.3">
      <c r="A485" s="1">
        <v>44800.930787037039</v>
      </c>
      <c r="B485" s="1">
        <v>44800.974027777775</v>
      </c>
      <c r="C485">
        <v>60.18</v>
      </c>
      <c r="D485" s="2">
        <v>4.1782407407407407E-2</v>
      </c>
      <c r="E485">
        <v>12.505000000000001</v>
      </c>
      <c r="F485" s="2">
        <v>3.3333333333333335E-3</v>
      </c>
      <c r="G485">
        <v>12.47</v>
      </c>
      <c r="H485">
        <v>19.48</v>
      </c>
      <c r="I485">
        <v>169</v>
      </c>
      <c r="J485">
        <v>147</v>
      </c>
      <c r="K485">
        <v>890</v>
      </c>
      <c r="L485" s="2">
        <v>2.9282407407407412E-3</v>
      </c>
      <c r="M485" s="2">
        <v>1.554398148148148E-2</v>
      </c>
      <c r="N485" s="2">
        <v>3.2442129629629633E-2</v>
      </c>
      <c r="O485" s="2">
        <v>0</v>
      </c>
      <c r="P485" s="2">
        <v>0</v>
      </c>
    </row>
    <row r="486" spans="1:16" x14ac:dyDescent="0.3">
      <c r="A486" s="1">
        <v>44803.738020833334</v>
      </c>
      <c r="B486" s="1">
        <v>44803.770833333336</v>
      </c>
      <c r="C486">
        <v>47.26</v>
      </c>
      <c r="D486" s="2">
        <v>3.2812500000000001E-2</v>
      </c>
      <c r="E486">
        <v>10.551</v>
      </c>
      <c r="F486" s="2">
        <v>3.1018518518518522E-3</v>
      </c>
      <c r="G486">
        <v>13.4</v>
      </c>
      <c r="H486">
        <v>15.72</v>
      </c>
      <c r="I486">
        <v>178</v>
      </c>
      <c r="J486">
        <v>162</v>
      </c>
      <c r="K486">
        <v>761</v>
      </c>
      <c r="L486" s="2">
        <v>2.8009259259259259E-3</v>
      </c>
      <c r="M486" s="2">
        <v>1.4768518518518519E-2</v>
      </c>
      <c r="N486" s="2">
        <v>3.0868055555555555E-2</v>
      </c>
      <c r="O486" s="2">
        <v>0</v>
      </c>
      <c r="P486" s="2">
        <v>0</v>
      </c>
    </row>
    <row r="487" spans="1:16" x14ac:dyDescent="0.3">
      <c r="A487" s="1">
        <v>44805.833321759259</v>
      </c>
      <c r="B487" s="1">
        <v>44805.864351851851</v>
      </c>
      <c r="C487">
        <v>44.69</v>
      </c>
      <c r="D487" s="2">
        <v>3.1030092592592592E-2</v>
      </c>
      <c r="E487">
        <v>10.086</v>
      </c>
      <c r="F487" s="2">
        <v>3.0671296296296297E-3</v>
      </c>
      <c r="G487">
        <v>13.54</v>
      </c>
      <c r="H487">
        <v>17.84</v>
      </c>
      <c r="I487">
        <v>174</v>
      </c>
      <c r="J487">
        <v>158</v>
      </c>
      <c r="K487">
        <v>709</v>
      </c>
      <c r="L487" s="2">
        <v>2.8472222222222219E-3</v>
      </c>
      <c r="M487" s="2">
        <v>1.4699074074074074E-2</v>
      </c>
      <c r="N487" s="2">
        <v>3.0821759259259257E-2</v>
      </c>
      <c r="O487" s="2">
        <v>0</v>
      </c>
      <c r="P487" s="2">
        <v>0</v>
      </c>
    </row>
    <row r="488" spans="1:16" x14ac:dyDescent="0.3">
      <c r="A488" s="1">
        <v>44807.916203703702</v>
      </c>
      <c r="B488" s="1">
        <v>44807.959976851853</v>
      </c>
      <c r="C488">
        <v>63.04</v>
      </c>
      <c r="D488" s="2">
        <v>4.3773148148148144E-2</v>
      </c>
      <c r="E488">
        <v>13.058999999999999</v>
      </c>
      <c r="F488" s="2">
        <v>3.3449074074074071E-3</v>
      </c>
      <c r="G488">
        <v>12.43</v>
      </c>
      <c r="H488">
        <v>18.37</v>
      </c>
      <c r="I488">
        <v>169</v>
      </c>
      <c r="J488">
        <v>148</v>
      </c>
      <c r="K488">
        <v>940</v>
      </c>
      <c r="L488" s="2">
        <v>2.9745370370370373E-3</v>
      </c>
      <c r="M488" s="2">
        <v>1.6296296296296295E-2</v>
      </c>
      <c r="N488" s="2">
        <v>3.3263888888888891E-2</v>
      </c>
      <c r="O488" s="2">
        <v>0</v>
      </c>
      <c r="P488" s="2">
        <v>0</v>
      </c>
    </row>
    <row r="489" spans="1:16" x14ac:dyDescent="0.3">
      <c r="A489" s="1">
        <v>44809.745451388888</v>
      </c>
      <c r="B489" s="1">
        <v>44809.778958333336</v>
      </c>
      <c r="C489">
        <v>45.79</v>
      </c>
      <c r="D489" s="2">
        <v>3.1793981481481479E-2</v>
      </c>
      <c r="E489">
        <v>10.407999999999999</v>
      </c>
      <c r="F489" s="2">
        <v>3.0439814814814821E-3</v>
      </c>
      <c r="G489">
        <v>13.64</v>
      </c>
      <c r="H489">
        <v>17.13</v>
      </c>
      <c r="I489">
        <v>178</v>
      </c>
      <c r="J489">
        <v>154</v>
      </c>
      <c r="K489">
        <v>703</v>
      </c>
      <c r="L489" s="2">
        <v>2.7083333333333334E-3</v>
      </c>
      <c r="M489" s="2">
        <v>1.4270833333333335E-2</v>
      </c>
      <c r="N489" s="2">
        <v>3.0092592592592591E-2</v>
      </c>
      <c r="O489" s="2">
        <v>0</v>
      </c>
      <c r="P489" s="2">
        <v>0</v>
      </c>
    </row>
    <row r="490" spans="1:16" x14ac:dyDescent="0.3">
      <c r="A490" s="1">
        <v>44811.941736111112</v>
      </c>
      <c r="B490" s="1">
        <v>44811.977951388886</v>
      </c>
      <c r="C490">
        <v>52.16</v>
      </c>
      <c r="D490" s="2">
        <v>3.6215277777777777E-2</v>
      </c>
      <c r="E490">
        <v>10.558</v>
      </c>
      <c r="F490" s="2">
        <v>3.425925925925926E-3</v>
      </c>
      <c r="G490">
        <v>12.14</v>
      </c>
      <c r="H490">
        <v>15.89</v>
      </c>
      <c r="I490">
        <v>158</v>
      </c>
      <c r="J490">
        <v>142</v>
      </c>
      <c r="K490">
        <v>745</v>
      </c>
      <c r="L490" s="2">
        <v>3.1018518518518522E-3</v>
      </c>
      <c r="M490" s="2">
        <v>1.7060185185185185E-2</v>
      </c>
      <c r="N490" s="2">
        <v>3.4270833333333334E-2</v>
      </c>
      <c r="O490" s="2">
        <v>0</v>
      </c>
      <c r="P490" s="2">
        <v>0</v>
      </c>
    </row>
    <row r="491" spans="1:16" x14ac:dyDescent="0.3">
      <c r="A491" s="1">
        <v>44813.67324074074</v>
      </c>
      <c r="B491" s="1">
        <v>44813.694108796299</v>
      </c>
      <c r="C491">
        <v>30.06</v>
      </c>
      <c r="D491" s="2">
        <v>2.0868055555555556E-2</v>
      </c>
      <c r="E491">
        <v>6.3639999999999999</v>
      </c>
      <c r="F491" s="2">
        <v>3.2754629629629631E-3</v>
      </c>
      <c r="G491">
        <v>12.7</v>
      </c>
      <c r="H491">
        <v>17.03</v>
      </c>
      <c r="I491">
        <v>165</v>
      </c>
      <c r="J491">
        <v>146</v>
      </c>
      <c r="K491">
        <v>453</v>
      </c>
      <c r="L491" s="2">
        <v>3.0787037037037037E-3</v>
      </c>
      <c r="M491" s="2">
        <v>1.6157407407407409E-2</v>
      </c>
      <c r="N491" s="2">
        <v>0</v>
      </c>
      <c r="O491" s="2">
        <v>0</v>
      </c>
      <c r="P491" s="2">
        <v>0</v>
      </c>
    </row>
    <row r="492" spans="1:16" x14ac:dyDescent="0.3">
      <c r="A492" s="1">
        <v>44814.92732638889</v>
      </c>
      <c r="B492" s="1">
        <v>44814.963263888887</v>
      </c>
      <c r="C492">
        <v>51.75</v>
      </c>
      <c r="D492" s="2">
        <v>3.5937500000000004E-2</v>
      </c>
      <c r="E492">
        <v>10.077999999999999</v>
      </c>
      <c r="F492" s="2">
        <v>3.5648148148148154E-3</v>
      </c>
      <c r="G492">
        <v>11.68</v>
      </c>
      <c r="H492">
        <v>13.5</v>
      </c>
      <c r="I492">
        <v>150</v>
      </c>
      <c r="J492">
        <v>136</v>
      </c>
      <c r="K492">
        <v>707</v>
      </c>
      <c r="L492" s="2">
        <v>3.2060185185185191E-3</v>
      </c>
      <c r="M492" s="2">
        <v>1.7152777777777777E-2</v>
      </c>
      <c r="N492" s="2">
        <v>3.5671296296296298E-2</v>
      </c>
      <c r="O492" s="2">
        <v>0</v>
      </c>
      <c r="P492" s="2">
        <v>0</v>
      </c>
    </row>
    <row r="493" spans="1:16" x14ac:dyDescent="0.3">
      <c r="A493" s="1">
        <v>44816.752766203703</v>
      </c>
      <c r="B493" s="1">
        <v>44816.778668981482</v>
      </c>
      <c r="C493">
        <v>37.299999999999997</v>
      </c>
      <c r="D493" s="2">
        <v>2.5902777777777775E-2</v>
      </c>
      <c r="E493">
        <v>9.0399999999999991</v>
      </c>
      <c r="F493" s="2">
        <v>2.8587962962962963E-3</v>
      </c>
      <c r="G493">
        <v>14.54</v>
      </c>
      <c r="H493">
        <v>17.329999999999998</v>
      </c>
      <c r="I493">
        <v>177</v>
      </c>
      <c r="J493">
        <v>165</v>
      </c>
      <c r="K493">
        <v>634</v>
      </c>
      <c r="L493" s="2">
        <v>2.5462962962962961E-3</v>
      </c>
      <c r="M493" s="2">
        <v>1.3912037037037037E-2</v>
      </c>
      <c r="N493" s="2">
        <v>0</v>
      </c>
      <c r="O493" s="2">
        <v>0</v>
      </c>
      <c r="P493" s="2">
        <v>0</v>
      </c>
    </row>
    <row r="494" spans="1:16" x14ac:dyDescent="0.3">
      <c r="A494" s="1">
        <v>44816.78020833333</v>
      </c>
      <c r="B494" s="1">
        <v>44816.788437499999</v>
      </c>
      <c r="C494">
        <v>11.85</v>
      </c>
      <c r="D494" s="2">
        <v>8.217592592592594E-3</v>
      </c>
      <c r="E494">
        <v>0.26800000000000002</v>
      </c>
      <c r="F494" s="2">
        <v>4.108796296296297E-3</v>
      </c>
      <c r="G494">
        <v>10.130000000000001</v>
      </c>
      <c r="H494">
        <v>10.85</v>
      </c>
      <c r="I494">
        <v>143</v>
      </c>
      <c r="J494">
        <v>137</v>
      </c>
      <c r="K494">
        <v>175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</row>
    <row r="495" spans="1:16" x14ac:dyDescent="0.3">
      <c r="A495" s="1">
        <v>44819.823333333334</v>
      </c>
      <c r="B495" s="1">
        <v>44819.867754629631</v>
      </c>
      <c r="C495">
        <v>63.98</v>
      </c>
      <c r="D495" s="2">
        <v>4.4421296296296292E-2</v>
      </c>
      <c r="E495">
        <v>13.06</v>
      </c>
      <c r="F495" s="2">
        <v>3.3912037037037036E-3</v>
      </c>
      <c r="G495">
        <v>12.25</v>
      </c>
      <c r="H495">
        <v>15.48</v>
      </c>
      <c r="I495">
        <v>158</v>
      </c>
      <c r="J495">
        <v>144</v>
      </c>
      <c r="K495">
        <v>922</v>
      </c>
      <c r="L495" s="2">
        <v>2.9976851851851848E-3</v>
      </c>
      <c r="M495" s="2">
        <v>1.6585648148148148E-2</v>
      </c>
      <c r="N495" s="2">
        <v>3.3761574074074076E-2</v>
      </c>
      <c r="O495" s="2">
        <v>0</v>
      </c>
      <c r="P495" s="2">
        <v>0</v>
      </c>
    </row>
    <row r="496" spans="1:16" x14ac:dyDescent="0.3">
      <c r="A496" s="1">
        <v>44821.899513888886</v>
      </c>
      <c r="B496" s="1">
        <v>44821.942210648151</v>
      </c>
      <c r="C496">
        <v>61.49</v>
      </c>
      <c r="D496" s="2">
        <v>4.2696759259259261E-2</v>
      </c>
      <c r="E496">
        <v>13.525</v>
      </c>
      <c r="F496" s="2">
        <v>3.1481481481481482E-3</v>
      </c>
      <c r="G496">
        <v>13.2</v>
      </c>
      <c r="H496">
        <v>16.43</v>
      </c>
      <c r="I496">
        <v>174</v>
      </c>
      <c r="J496">
        <v>152</v>
      </c>
      <c r="K496">
        <v>940</v>
      </c>
      <c r="L496" s="2">
        <v>2.7430555555555559E-3</v>
      </c>
      <c r="M496" s="2">
        <v>1.4826388888888889E-2</v>
      </c>
      <c r="N496" s="2">
        <v>3.1192129629629629E-2</v>
      </c>
      <c r="O496" s="2">
        <v>0</v>
      </c>
      <c r="P496" s="2">
        <v>0</v>
      </c>
    </row>
    <row r="497" spans="1:16" x14ac:dyDescent="0.3">
      <c r="A497" s="1">
        <v>44822.744097222225</v>
      </c>
      <c r="B497" s="1">
        <v>44822.756597222222</v>
      </c>
      <c r="C497">
        <v>18</v>
      </c>
      <c r="D497" s="2">
        <v>1.2499999999999999E-2</v>
      </c>
      <c r="E497">
        <v>3.5089999999999999</v>
      </c>
      <c r="F497" s="2">
        <v>3.8194444444444443E-3</v>
      </c>
      <c r="G497">
        <v>10.9</v>
      </c>
      <c r="H497">
        <v>17.2</v>
      </c>
      <c r="I497">
        <v>152</v>
      </c>
      <c r="J497">
        <v>127</v>
      </c>
      <c r="K497">
        <v>283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</row>
    <row r="498" spans="1:16" x14ac:dyDescent="0.3">
      <c r="A498" s="1">
        <v>44823.743657407409</v>
      </c>
      <c r="B498" s="1">
        <v>44823.781261574077</v>
      </c>
      <c r="C498">
        <v>34.83</v>
      </c>
      <c r="D498" s="2">
        <v>2.4189814814814817E-2</v>
      </c>
      <c r="E498">
        <v>7.0289999999999999</v>
      </c>
      <c r="F498" s="2">
        <v>3.4375E-3</v>
      </c>
      <c r="G498">
        <v>12.11</v>
      </c>
      <c r="H498">
        <v>17.37</v>
      </c>
      <c r="I498">
        <v>173</v>
      </c>
      <c r="J498">
        <v>143</v>
      </c>
      <c r="K498">
        <v>509</v>
      </c>
      <c r="L498" s="2">
        <v>2.6504629629629625E-3</v>
      </c>
      <c r="M498" s="2">
        <v>1.5555555555555553E-2</v>
      </c>
      <c r="N498" s="2">
        <v>0</v>
      </c>
      <c r="O498" s="2">
        <v>0</v>
      </c>
      <c r="P498" s="2">
        <v>0</v>
      </c>
    </row>
    <row r="499" spans="1:16" x14ac:dyDescent="0.3">
      <c r="A499" s="1">
        <v>44825.959178240744</v>
      </c>
      <c r="B499" s="1">
        <v>44825.998136574075</v>
      </c>
      <c r="C499">
        <v>54.71</v>
      </c>
      <c r="D499" s="2">
        <v>3.7986111111111116E-2</v>
      </c>
      <c r="E499">
        <v>11.026999999999999</v>
      </c>
      <c r="F499" s="2">
        <v>3.4375E-3</v>
      </c>
      <c r="G499">
        <v>12.09</v>
      </c>
      <c r="H499">
        <v>15.08</v>
      </c>
      <c r="I499">
        <v>159</v>
      </c>
      <c r="J499">
        <v>145</v>
      </c>
      <c r="K499">
        <v>799</v>
      </c>
      <c r="L499" s="2">
        <v>3.2407407407407406E-3</v>
      </c>
      <c r="M499" s="2">
        <v>1.6828703703703703E-2</v>
      </c>
      <c r="N499" s="2">
        <v>3.4386574074074076E-2</v>
      </c>
      <c r="O499" s="2">
        <v>0</v>
      </c>
      <c r="P499" s="2">
        <v>0</v>
      </c>
    </row>
    <row r="500" spans="1:16" x14ac:dyDescent="0.3">
      <c r="A500" s="1">
        <v>44827.680405092593</v>
      </c>
      <c r="B500" s="1">
        <v>44827.701261574075</v>
      </c>
      <c r="C500">
        <v>30.04</v>
      </c>
      <c r="D500" s="2">
        <v>2.0856481481481479E-2</v>
      </c>
      <c r="E500">
        <v>6.1660000000000004</v>
      </c>
      <c r="F500" s="2">
        <v>3.37962962962963E-3</v>
      </c>
      <c r="G500">
        <v>12.31</v>
      </c>
      <c r="H500">
        <v>16.16</v>
      </c>
      <c r="I500">
        <v>166</v>
      </c>
      <c r="J500">
        <v>145</v>
      </c>
      <c r="K500">
        <v>435</v>
      </c>
      <c r="L500" s="2">
        <v>3.0671296296296297E-3</v>
      </c>
      <c r="M500" s="2">
        <v>1.6828703703703703E-2</v>
      </c>
      <c r="N500" s="2">
        <v>0</v>
      </c>
      <c r="O500" s="2">
        <v>0</v>
      </c>
      <c r="P500" s="2">
        <v>0</v>
      </c>
    </row>
    <row r="501" spans="1:16" x14ac:dyDescent="0.3">
      <c r="A501" s="1">
        <v>44829.084236111114</v>
      </c>
      <c r="B501" s="1">
        <v>44829.120243055557</v>
      </c>
      <c r="C501">
        <v>51.86</v>
      </c>
      <c r="D501" s="2">
        <v>3.6006944444444446E-2</v>
      </c>
      <c r="E501">
        <v>10.022</v>
      </c>
      <c r="F501" s="2">
        <v>3.5879629629629629E-3</v>
      </c>
      <c r="G501">
        <v>11.59</v>
      </c>
      <c r="H501">
        <v>13.54</v>
      </c>
      <c r="I501">
        <v>151</v>
      </c>
      <c r="J501">
        <v>136</v>
      </c>
      <c r="K501">
        <v>717</v>
      </c>
      <c r="L501" s="2">
        <v>3.37962962962963E-3</v>
      </c>
      <c r="M501" s="2">
        <v>1.7453703703703704E-2</v>
      </c>
      <c r="N501" s="2">
        <v>3.5949074074074071E-2</v>
      </c>
      <c r="O501" s="2">
        <v>0</v>
      </c>
      <c r="P501" s="2">
        <v>0</v>
      </c>
    </row>
    <row r="502" spans="1:16" x14ac:dyDescent="0.3">
      <c r="A502" s="1">
        <v>44831.919490740744</v>
      </c>
      <c r="B502" s="1">
        <v>44831.948506944442</v>
      </c>
      <c r="C502">
        <v>41.8</v>
      </c>
      <c r="D502" s="2">
        <v>2.90162037037037E-2</v>
      </c>
      <c r="E502">
        <v>10.026</v>
      </c>
      <c r="F502" s="2">
        <v>2.8935185185185188E-3</v>
      </c>
      <c r="G502">
        <v>14.39</v>
      </c>
      <c r="H502">
        <v>16.559999999999999</v>
      </c>
      <c r="I502">
        <v>180</v>
      </c>
      <c r="J502">
        <v>162</v>
      </c>
      <c r="K502">
        <v>695</v>
      </c>
      <c r="L502" s="2">
        <v>2.673611111111111E-3</v>
      </c>
      <c r="M502" s="2">
        <v>1.4050925925925927E-2</v>
      </c>
      <c r="N502" s="2">
        <v>2.8969907407407406E-2</v>
      </c>
      <c r="O502" s="2">
        <v>0</v>
      </c>
      <c r="P502" s="2">
        <v>0</v>
      </c>
    </row>
    <row r="503" spans="1:16" x14ac:dyDescent="0.3">
      <c r="A503" s="1">
        <v>44831.94972222222</v>
      </c>
      <c r="B503" s="1">
        <v>44831.966909722221</v>
      </c>
      <c r="C503">
        <v>24.75</v>
      </c>
      <c r="D503" s="2">
        <v>1.7187499999999998E-2</v>
      </c>
      <c r="E503">
        <v>5.2380000000000004</v>
      </c>
      <c r="F503" s="2">
        <v>3.2754629629629631E-3</v>
      </c>
      <c r="G503">
        <v>12.7</v>
      </c>
      <c r="H503">
        <v>18.78</v>
      </c>
      <c r="I503">
        <v>165</v>
      </c>
      <c r="J503">
        <v>148</v>
      </c>
      <c r="K503">
        <v>366</v>
      </c>
      <c r="L503" s="2">
        <v>3.0208333333333333E-3</v>
      </c>
      <c r="M503" s="2">
        <v>1.6400462962962964E-2</v>
      </c>
      <c r="N503" s="2">
        <v>0</v>
      </c>
      <c r="O503" s="2">
        <v>0</v>
      </c>
      <c r="P503" s="2">
        <v>0</v>
      </c>
    </row>
    <row r="504" spans="1:16" x14ac:dyDescent="0.3">
      <c r="A504" s="1">
        <v>44834.307129629633</v>
      </c>
      <c r="B504" s="1">
        <v>44834.334675925929</v>
      </c>
      <c r="C504">
        <v>39.67</v>
      </c>
      <c r="D504" s="2">
        <v>2.7546296296296294E-2</v>
      </c>
      <c r="E504">
        <v>10.051</v>
      </c>
      <c r="F504" s="2">
        <v>2.7314814814814819E-3</v>
      </c>
      <c r="G504">
        <v>15.2</v>
      </c>
      <c r="H504">
        <v>19.05</v>
      </c>
      <c r="I504">
        <v>180</v>
      </c>
      <c r="J504">
        <v>171</v>
      </c>
      <c r="K504">
        <v>692</v>
      </c>
      <c r="L504" s="2">
        <v>2.4074074074074076E-3</v>
      </c>
      <c r="M504" s="2">
        <v>1.3356481481481483E-2</v>
      </c>
      <c r="N504" s="2">
        <v>2.7384259259259257E-2</v>
      </c>
      <c r="O504" s="2">
        <v>0</v>
      </c>
      <c r="P504" s="2">
        <v>0</v>
      </c>
    </row>
    <row r="505" spans="1:16" x14ac:dyDescent="0.3">
      <c r="A505" s="1">
        <v>44835.955324074072</v>
      </c>
      <c r="B505" s="1">
        <v>44835.995520833334</v>
      </c>
      <c r="C505">
        <v>57.9</v>
      </c>
      <c r="D505" s="2">
        <v>4.0196759259259258E-2</v>
      </c>
      <c r="E505">
        <v>11.022</v>
      </c>
      <c r="F505" s="2">
        <v>3.645833333333333E-3</v>
      </c>
      <c r="G505">
        <v>11.42</v>
      </c>
      <c r="H505">
        <v>12.73</v>
      </c>
      <c r="I505">
        <v>175</v>
      </c>
      <c r="J505">
        <v>154</v>
      </c>
      <c r="K505">
        <v>825</v>
      </c>
      <c r="L505" s="2">
        <v>3.4490740740740745E-3</v>
      </c>
      <c r="M505" s="2">
        <v>1.7662037037037035E-2</v>
      </c>
      <c r="N505" s="2">
        <v>3.6076388888888887E-2</v>
      </c>
      <c r="O505" s="2">
        <v>0</v>
      </c>
      <c r="P505" s="2">
        <v>0</v>
      </c>
    </row>
    <row r="506" spans="1:16" x14ac:dyDescent="0.3">
      <c r="A506" s="1">
        <v>44838.281574074077</v>
      </c>
      <c r="B506" s="1">
        <v>44838.320937500001</v>
      </c>
      <c r="C506">
        <v>56.69</v>
      </c>
      <c r="D506" s="2">
        <v>3.936342592592592E-2</v>
      </c>
      <c r="E506">
        <v>11.151999999999999</v>
      </c>
      <c r="F506" s="2">
        <v>3.5185185185185185E-3</v>
      </c>
      <c r="G506">
        <v>11.8</v>
      </c>
      <c r="H506">
        <v>14.48</v>
      </c>
      <c r="I506">
        <v>145</v>
      </c>
      <c r="J506">
        <v>132</v>
      </c>
      <c r="K506">
        <v>753</v>
      </c>
      <c r="L506" s="2">
        <v>3.37962962962963E-3</v>
      </c>
      <c r="M506" s="2">
        <v>1.7291666666666667E-2</v>
      </c>
      <c r="N506" s="2">
        <v>3.5127314814814813E-2</v>
      </c>
      <c r="O506" s="2">
        <v>0</v>
      </c>
      <c r="P506" s="2">
        <v>0</v>
      </c>
    </row>
    <row r="507" spans="1:16" x14ac:dyDescent="0.3">
      <c r="A507" s="1">
        <v>44840.922303240739</v>
      </c>
      <c r="B507" s="1">
        <v>44840.975682870368</v>
      </c>
      <c r="C507">
        <v>76.88</v>
      </c>
      <c r="D507" s="2">
        <v>5.3379629629629631E-2</v>
      </c>
      <c r="E507">
        <v>16.207000000000001</v>
      </c>
      <c r="F507" s="2">
        <v>3.2870370370370367E-3</v>
      </c>
      <c r="G507">
        <v>12.65</v>
      </c>
      <c r="H507">
        <v>15.25</v>
      </c>
      <c r="I507">
        <v>166</v>
      </c>
      <c r="J507">
        <v>152</v>
      </c>
      <c r="K507">
        <v>1158</v>
      </c>
      <c r="L507" s="2">
        <v>2.9861111111111113E-3</v>
      </c>
      <c r="M507" s="2">
        <v>1.5740740740740743E-2</v>
      </c>
      <c r="N507" s="2">
        <v>3.2395833333333332E-2</v>
      </c>
      <c r="O507" s="2">
        <v>0</v>
      </c>
      <c r="P507" s="2">
        <v>0</v>
      </c>
    </row>
    <row r="508" spans="1:16" x14ac:dyDescent="0.3">
      <c r="A508" s="1">
        <v>44842.90420138889</v>
      </c>
      <c r="B508" s="1">
        <v>44842.945729166669</v>
      </c>
      <c r="C508">
        <v>59.57</v>
      </c>
      <c r="D508" s="2">
        <v>4.1365740740740745E-2</v>
      </c>
      <c r="E508">
        <v>12.07</v>
      </c>
      <c r="F508" s="2">
        <v>3.425925925925926E-3</v>
      </c>
      <c r="G508">
        <v>12.16</v>
      </c>
      <c r="H508">
        <v>16.829999999999998</v>
      </c>
      <c r="I508">
        <v>156</v>
      </c>
      <c r="J508">
        <v>140</v>
      </c>
      <c r="K508">
        <v>836</v>
      </c>
      <c r="L508" s="2">
        <v>2.9861111111111113E-3</v>
      </c>
      <c r="M508" s="2">
        <v>1.7025462962962961E-2</v>
      </c>
      <c r="N508" s="2">
        <v>3.4178240740740738E-2</v>
      </c>
      <c r="O508" s="2">
        <v>0</v>
      </c>
      <c r="P508" s="2">
        <v>0</v>
      </c>
    </row>
    <row r="509" spans="1:16" x14ac:dyDescent="0.3">
      <c r="A509" s="1">
        <v>44844.991840277777</v>
      </c>
      <c r="B509" s="1">
        <v>44845.025358796294</v>
      </c>
      <c r="C509">
        <v>48.27</v>
      </c>
      <c r="D509" s="2">
        <v>3.3518518518518517E-2</v>
      </c>
      <c r="E509">
        <v>11.117000000000001</v>
      </c>
      <c r="F509" s="2">
        <v>3.0092592592592588E-3</v>
      </c>
      <c r="G509">
        <v>13.82</v>
      </c>
      <c r="H509">
        <v>16.79</v>
      </c>
      <c r="I509">
        <v>179</v>
      </c>
      <c r="J509">
        <v>156</v>
      </c>
      <c r="K509">
        <v>790</v>
      </c>
      <c r="L509" s="2">
        <v>2.8240740740740739E-3</v>
      </c>
      <c r="M509" s="2">
        <v>1.4907407407407406E-2</v>
      </c>
      <c r="N509" s="2">
        <v>2.990740740740741E-2</v>
      </c>
      <c r="O509" s="2">
        <v>0</v>
      </c>
      <c r="P509" s="2">
        <v>0</v>
      </c>
    </row>
    <row r="510" spans="1:16" x14ac:dyDescent="0.3">
      <c r="A510" s="1">
        <v>44846.911249999997</v>
      </c>
      <c r="B510" s="1">
        <v>44846.946979166663</v>
      </c>
      <c r="C510">
        <v>51.45</v>
      </c>
      <c r="D510" s="2">
        <v>3.5729166666666666E-2</v>
      </c>
      <c r="E510">
        <v>10.044</v>
      </c>
      <c r="F510" s="2">
        <v>3.5532407407407405E-3</v>
      </c>
      <c r="G510">
        <v>11.71</v>
      </c>
      <c r="H510">
        <v>16.66</v>
      </c>
      <c r="I510">
        <v>163</v>
      </c>
      <c r="J510">
        <v>144</v>
      </c>
      <c r="K510">
        <v>728</v>
      </c>
      <c r="L510" s="2">
        <v>3.2754629629629631E-3</v>
      </c>
      <c r="M510" s="2">
        <v>1.7604166666666667E-2</v>
      </c>
      <c r="N510" s="2">
        <v>3.560185185185185E-2</v>
      </c>
      <c r="O510" s="2">
        <v>0</v>
      </c>
      <c r="P510" s="2">
        <v>0</v>
      </c>
    </row>
    <row r="511" spans="1:16" x14ac:dyDescent="0.3">
      <c r="A511" s="1">
        <v>44848.296111111114</v>
      </c>
      <c r="B511" s="1">
        <v>44848.324236111112</v>
      </c>
      <c r="C511">
        <v>39.86</v>
      </c>
      <c r="D511" s="2">
        <v>2.7673611111111111E-2</v>
      </c>
      <c r="E511">
        <v>10.006</v>
      </c>
      <c r="F511" s="2">
        <v>2.7546296296296294E-3</v>
      </c>
      <c r="G511">
        <v>15.06</v>
      </c>
      <c r="H511">
        <v>19.48</v>
      </c>
      <c r="I511">
        <v>178</v>
      </c>
      <c r="J511">
        <v>165</v>
      </c>
      <c r="K511">
        <v>690</v>
      </c>
      <c r="L511" s="2">
        <v>2.5462962962962961E-3</v>
      </c>
      <c r="M511" s="2">
        <v>1.3460648148148147E-2</v>
      </c>
      <c r="N511" s="2">
        <v>2.7650462962962963E-2</v>
      </c>
      <c r="O511" s="2">
        <v>0</v>
      </c>
      <c r="P511" s="2">
        <v>0</v>
      </c>
    </row>
    <row r="512" spans="1:16" x14ac:dyDescent="0.3">
      <c r="A512" s="1">
        <v>44852.925057870372</v>
      </c>
      <c r="B512" s="1">
        <v>44852.968368055554</v>
      </c>
      <c r="C512">
        <v>62.38</v>
      </c>
      <c r="D512" s="2">
        <v>4.3310185185185181E-2</v>
      </c>
      <c r="E512">
        <v>13.438000000000001</v>
      </c>
      <c r="F512" s="2">
        <v>3.2175925925925926E-3</v>
      </c>
      <c r="G512">
        <v>12.93</v>
      </c>
      <c r="H512">
        <v>19.45</v>
      </c>
      <c r="I512">
        <v>165</v>
      </c>
      <c r="J512">
        <v>141</v>
      </c>
      <c r="K512">
        <v>891</v>
      </c>
      <c r="L512" s="2">
        <v>2.7893518518518519E-3</v>
      </c>
      <c r="M512" s="2">
        <v>1.4976851851851852E-2</v>
      </c>
      <c r="N512" s="2">
        <v>3.1597222222222221E-2</v>
      </c>
      <c r="O512" s="2">
        <v>0</v>
      </c>
      <c r="P512" s="2">
        <v>0</v>
      </c>
    </row>
    <row r="513" spans="1:16" x14ac:dyDescent="0.3">
      <c r="A513" s="1">
        <v>44855.27138888889</v>
      </c>
      <c r="B513" s="1">
        <v>44855.313761574071</v>
      </c>
      <c r="C513">
        <v>61.02</v>
      </c>
      <c r="D513" s="2">
        <v>4.2361111111111106E-2</v>
      </c>
      <c r="E513">
        <v>14.743</v>
      </c>
      <c r="F513" s="2">
        <v>2.7893518518518519E-3</v>
      </c>
      <c r="G513">
        <v>14.9</v>
      </c>
      <c r="H513">
        <v>23.41</v>
      </c>
      <c r="I513">
        <v>181</v>
      </c>
      <c r="J513">
        <v>169</v>
      </c>
      <c r="K513">
        <v>1016</v>
      </c>
      <c r="L513" s="2">
        <v>2.6967592592592594E-3</v>
      </c>
      <c r="M513" s="2">
        <v>1.4143518518518519E-2</v>
      </c>
      <c r="N513" s="2">
        <v>2.8668981481481479E-2</v>
      </c>
      <c r="O513" s="2">
        <v>0</v>
      </c>
      <c r="P513" s="2">
        <v>0</v>
      </c>
    </row>
    <row r="514" spans="1:16" x14ac:dyDescent="0.3">
      <c r="A514" s="1">
        <v>44856.877916666665</v>
      </c>
      <c r="B514" s="1">
        <v>44856.963865740741</v>
      </c>
      <c r="C514">
        <v>58.45</v>
      </c>
      <c r="D514" s="2">
        <v>4.05787037037037E-2</v>
      </c>
      <c r="E514">
        <v>11.114000000000001</v>
      </c>
      <c r="F514" s="2">
        <v>3.645833333333333E-3</v>
      </c>
      <c r="G514">
        <v>11.41</v>
      </c>
      <c r="H514">
        <v>15.38</v>
      </c>
      <c r="I514">
        <v>154</v>
      </c>
      <c r="J514">
        <v>135</v>
      </c>
      <c r="K514">
        <v>803</v>
      </c>
      <c r="L514" s="2">
        <v>3.1828703703703702E-3</v>
      </c>
      <c r="M514" s="2">
        <v>1.7858796296296296E-2</v>
      </c>
      <c r="N514" s="2">
        <v>3.6400462962962961E-2</v>
      </c>
      <c r="O514" s="2">
        <v>0</v>
      </c>
      <c r="P514" s="2">
        <v>0</v>
      </c>
    </row>
    <row r="515" spans="1:16" x14ac:dyDescent="0.3">
      <c r="A515" s="1">
        <v>44859.882986111108</v>
      </c>
      <c r="B515" s="1">
        <v>44859.923298611109</v>
      </c>
      <c r="C515">
        <v>53.73</v>
      </c>
      <c r="D515" s="2">
        <v>3.7303240740740741E-2</v>
      </c>
      <c r="E515">
        <v>10.611000000000001</v>
      </c>
      <c r="F515" s="2">
        <v>3.5069444444444445E-3</v>
      </c>
      <c r="G515">
        <v>11.85</v>
      </c>
      <c r="H515">
        <v>12.87</v>
      </c>
      <c r="I515">
        <v>163</v>
      </c>
      <c r="J515">
        <v>150</v>
      </c>
      <c r="K515">
        <v>791</v>
      </c>
      <c r="L515" s="2">
        <v>3.3912037037037036E-3</v>
      </c>
      <c r="M515" s="2">
        <v>1.7407407407407406E-2</v>
      </c>
      <c r="N515" s="2">
        <v>3.5069444444444445E-2</v>
      </c>
      <c r="O515" s="2">
        <v>0</v>
      </c>
      <c r="P515" s="2">
        <v>0</v>
      </c>
    </row>
    <row r="516" spans="1:16" x14ac:dyDescent="0.3">
      <c r="A516" s="1">
        <v>44861.988449074073</v>
      </c>
      <c r="B516" s="1">
        <v>44862.02747685185</v>
      </c>
      <c r="C516">
        <v>56.21</v>
      </c>
      <c r="D516" s="2">
        <v>3.9027777777777779E-2</v>
      </c>
      <c r="E516">
        <v>12.195</v>
      </c>
      <c r="F516" s="2">
        <v>3.1944444444444442E-3</v>
      </c>
      <c r="G516">
        <v>13.02</v>
      </c>
      <c r="H516">
        <v>15.52</v>
      </c>
      <c r="I516">
        <v>171</v>
      </c>
      <c r="J516">
        <v>156</v>
      </c>
      <c r="K516">
        <v>866</v>
      </c>
      <c r="L516" s="2">
        <v>2.8935185185185188E-3</v>
      </c>
      <c r="M516" s="2">
        <v>1.525462962962963E-2</v>
      </c>
      <c r="N516" s="2">
        <v>3.1863425925925927E-2</v>
      </c>
      <c r="O516" s="2">
        <v>0</v>
      </c>
      <c r="P516" s="2">
        <v>0</v>
      </c>
    </row>
    <row r="517" spans="1:16" x14ac:dyDescent="0.3">
      <c r="A517" s="1">
        <v>44863.907129629632</v>
      </c>
      <c r="B517" s="1">
        <v>44863.956620370373</v>
      </c>
      <c r="C517">
        <v>59.51</v>
      </c>
      <c r="D517" s="2">
        <v>4.1319444444444443E-2</v>
      </c>
      <c r="E517">
        <v>12.122</v>
      </c>
      <c r="F517" s="2">
        <v>3.4027777777777784E-3</v>
      </c>
      <c r="G517">
        <v>12.22</v>
      </c>
      <c r="H517">
        <v>15.22</v>
      </c>
      <c r="I517">
        <v>174</v>
      </c>
      <c r="J517">
        <v>143</v>
      </c>
      <c r="K517">
        <v>868</v>
      </c>
      <c r="L517" s="2">
        <v>2.8935185185185188E-3</v>
      </c>
      <c r="M517" s="2">
        <v>1.5613425925925926E-2</v>
      </c>
      <c r="N517" s="2">
        <v>3.3587962962962965E-2</v>
      </c>
      <c r="O517" s="2">
        <v>0</v>
      </c>
      <c r="P517" s="2">
        <v>0</v>
      </c>
    </row>
    <row r="518" spans="1:16" x14ac:dyDescent="0.3">
      <c r="A518" s="1">
        <v>44865.714641203704</v>
      </c>
      <c r="B518" s="1">
        <v>44865.743703703702</v>
      </c>
      <c r="C518">
        <v>41.85</v>
      </c>
      <c r="D518" s="2">
        <v>2.9062500000000002E-2</v>
      </c>
      <c r="E518">
        <v>9.2260000000000009</v>
      </c>
      <c r="F518" s="2">
        <v>3.1481481481481482E-3</v>
      </c>
      <c r="G518">
        <v>13.23</v>
      </c>
      <c r="H518">
        <v>15.99</v>
      </c>
      <c r="I518">
        <v>179</v>
      </c>
      <c r="J518">
        <v>154</v>
      </c>
      <c r="K518">
        <v>653</v>
      </c>
      <c r="L518" s="2">
        <v>2.8009259259259259E-3</v>
      </c>
      <c r="M518" s="2">
        <v>1.462962962962963E-2</v>
      </c>
      <c r="N518" s="2">
        <v>0</v>
      </c>
      <c r="O518" s="2">
        <v>0</v>
      </c>
      <c r="P518" s="2">
        <v>0</v>
      </c>
    </row>
    <row r="519" spans="1:16" x14ac:dyDescent="0.3">
      <c r="A519" s="1">
        <v>44868.934490740743</v>
      </c>
      <c r="B519" s="1">
        <v>44868.984791666669</v>
      </c>
      <c r="C519">
        <v>72.45</v>
      </c>
      <c r="D519" s="2">
        <v>5.0300925925925923E-2</v>
      </c>
      <c r="E519">
        <v>15.167</v>
      </c>
      <c r="F519" s="2">
        <v>3.3101851851851851E-3</v>
      </c>
      <c r="G519">
        <v>12.56</v>
      </c>
      <c r="H519">
        <v>15.02</v>
      </c>
      <c r="I519">
        <v>185</v>
      </c>
      <c r="J519">
        <v>156</v>
      </c>
      <c r="K519">
        <v>1115</v>
      </c>
      <c r="L519" s="2">
        <v>2.9976851851851848E-3</v>
      </c>
      <c r="M519" s="2">
        <v>1.5833333333333335E-2</v>
      </c>
      <c r="N519" s="2">
        <v>3.2002314814814817E-2</v>
      </c>
      <c r="O519" s="2">
        <v>0</v>
      </c>
      <c r="P519" s="2">
        <v>0</v>
      </c>
    </row>
    <row r="520" spans="1:16" x14ac:dyDescent="0.3">
      <c r="A520" s="1">
        <v>44870.936886574076</v>
      </c>
      <c r="B520" s="1">
        <v>44870.976539351854</v>
      </c>
      <c r="C520">
        <v>57.11</v>
      </c>
      <c r="D520" s="2">
        <v>3.965277777777778E-2</v>
      </c>
      <c r="E520">
        <v>11.114000000000001</v>
      </c>
      <c r="F520" s="2">
        <v>3.5648148148148154E-3</v>
      </c>
      <c r="G520">
        <v>11.68</v>
      </c>
      <c r="H520">
        <v>15.89</v>
      </c>
      <c r="I520">
        <v>159</v>
      </c>
      <c r="J520">
        <v>145</v>
      </c>
      <c r="K520">
        <v>809</v>
      </c>
      <c r="L520" s="2">
        <v>3.2754629629629631E-3</v>
      </c>
      <c r="M520" s="2">
        <v>1.744212962962963E-2</v>
      </c>
      <c r="N520" s="2">
        <v>3.5451388888888886E-2</v>
      </c>
      <c r="O520" s="2">
        <v>0</v>
      </c>
      <c r="P520" s="2">
        <v>0</v>
      </c>
    </row>
    <row r="521" spans="1:16" x14ac:dyDescent="0.3">
      <c r="A521" s="1">
        <v>44872.71365740741</v>
      </c>
      <c r="B521" s="1">
        <v>44872.745729166665</v>
      </c>
      <c r="C521">
        <v>46.03</v>
      </c>
      <c r="D521" s="2">
        <v>3.1967592592592589E-2</v>
      </c>
      <c r="E521">
        <v>10.407</v>
      </c>
      <c r="F521" s="2">
        <v>3.0671296296296297E-3</v>
      </c>
      <c r="G521">
        <v>13.56</v>
      </c>
      <c r="H521">
        <v>16.190000000000001</v>
      </c>
      <c r="I521">
        <v>180</v>
      </c>
      <c r="J521">
        <v>152</v>
      </c>
      <c r="K521">
        <v>722</v>
      </c>
      <c r="L521" s="2">
        <v>2.6620370370370374E-3</v>
      </c>
      <c r="M521" s="2">
        <v>1.4351851851851852E-2</v>
      </c>
      <c r="N521" s="2">
        <v>3.0497685185185183E-2</v>
      </c>
      <c r="O521" s="2">
        <v>0</v>
      </c>
      <c r="P521" s="2">
        <v>0</v>
      </c>
    </row>
    <row r="522" spans="1:16" x14ac:dyDescent="0.3">
      <c r="A522" s="1">
        <v>44875.826493055552</v>
      </c>
      <c r="B522" s="1">
        <v>44875.854745370372</v>
      </c>
      <c r="C522">
        <v>39.07</v>
      </c>
      <c r="D522" s="2">
        <v>2.7118055555555552E-2</v>
      </c>
      <c r="E522">
        <v>10.01</v>
      </c>
      <c r="F522" s="2">
        <v>2.7083333333333334E-3</v>
      </c>
      <c r="G522">
        <v>15.37</v>
      </c>
      <c r="H522">
        <v>18.34</v>
      </c>
      <c r="I522">
        <v>176</v>
      </c>
      <c r="J522">
        <v>164</v>
      </c>
      <c r="K522">
        <v>663</v>
      </c>
      <c r="L522" s="2">
        <v>2.5231481481481481E-3</v>
      </c>
      <c r="M522" s="2">
        <v>1.3356481481481483E-2</v>
      </c>
      <c r="N522" s="2">
        <v>2.7106481481481481E-2</v>
      </c>
      <c r="O522" s="2">
        <v>0</v>
      </c>
      <c r="P522" s="2">
        <v>0</v>
      </c>
    </row>
    <row r="523" spans="1:16" x14ac:dyDescent="0.3">
      <c r="A523" s="1">
        <v>44877.921354166669</v>
      </c>
      <c r="B523" s="1">
        <v>44877.957303240742</v>
      </c>
      <c r="C523">
        <v>51.78</v>
      </c>
      <c r="D523" s="2">
        <v>3.5949074074074071E-2</v>
      </c>
      <c r="E523">
        <v>10.231</v>
      </c>
      <c r="F523" s="2">
        <v>3.5069444444444445E-3</v>
      </c>
      <c r="G523">
        <v>11.86</v>
      </c>
      <c r="H523">
        <v>15.62</v>
      </c>
      <c r="I523">
        <v>158</v>
      </c>
      <c r="J523">
        <v>146</v>
      </c>
      <c r="K523">
        <v>745</v>
      </c>
      <c r="L523" s="2">
        <v>3.2986111111111111E-3</v>
      </c>
      <c r="M523" s="2">
        <v>1.7349537037037038E-2</v>
      </c>
      <c r="N523" s="2">
        <v>3.5104166666666665E-2</v>
      </c>
      <c r="O523" s="2">
        <v>0</v>
      </c>
      <c r="P523" s="2">
        <v>0</v>
      </c>
    </row>
    <row r="524" spans="1:16" x14ac:dyDescent="0.3">
      <c r="A524" s="1">
        <v>44878.751284722224</v>
      </c>
      <c r="B524" s="1">
        <v>44878.762395833335</v>
      </c>
      <c r="C524">
        <v>16</v>
      </c>
      <c r="D524" s="2">
        <v>1.1111111111111112E-2</v>
      </c>
      <c r="E524">
        <v>3.3149999999999999</v>
      </c>
      <c r="F524" s="2">
        <v>3.414351851851852E-3</v>
      </c>
      <c r="G524">
        <v>12.19</v>
      </c>
      <c r="H524">
        <v>16.559999999999999</v>
      </c>
      <c r="I524">
        <v>150</v>
      </c>
      <c r="J524">
        <v>133</v>
      </c>
      <c r="K524">
        <v>266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</row>
    <row r="525" spans="1:16" x14ac:dyDescent="0.3">
      <c r="A525" s="1">
        <v>44879.713993055557</v>
      </c>
      <c r="B525" s="1">
        <v>44879.744016203702</v>
      </c>
      <c r="C525">
        <v>43.24</v>
      </c>
      <c r="D525" s="2">
        <v>3.0023148148148149E-2</v>
      </c>
      <c r="E525">
        <v>10.012</v>
      </c>
      <c r="F525" s="2">
        <v>2.9976851851851848E-3</v>
      </c>
      <c r="G525">
        <v>13.89</v>
      </c>
      <c r="H525">
        <v>15.82</v>
      </c>
      <c r="I525">
        <v>179</v>
      </c>
      <c r="J525">
        <v>154</v>
      </c>
      <c r="K525">
        <v>699</v>
      </c>
      <c r="L525" s="2">
        <v>2.7199074074074074E-3</v>
      </c>
      <c r="M525" s="2">
        <v>1.4120370370370368E-2</v>
      </c>
      <c r="N525" s="2">
        <v>2.9976851851851852E-2</v>
      </c>
      <c r="O525" s="2">
        <v>0</v>
      </c>
      <c r="P525" s="2">
        <v>0</v>
      </c>
    </row>
    <row r="526" spans="1:16" x14ac:dyDescent="0.3">
      <c r="A526" s="1">
        <v>44880.866956018515</v>
      </c>
      <c r="B526" s="1">
        <v>44880.891550925924</v>
      </c>
      <c r="C526">
        <v>35.42</v>
      </c>
      <c r="D526" s="2">
        <v>2.4594907407407409E-2</v>
      </c>
      <c r="E526">
        <v>8.0589999999999993</v>
      </c>
      <c r="F526" s="2">
        <v>3.0439814814814821E-3</v>
      </c>
      <c r="G526">
        <v>13.65</v>
      </c>
      <c r="H526">
        <v>15.79</v>
      </c>
      <c r="I526">
        <v>176</v>
      </c>
      <c r="J526">
        <v>153</v>
      </c>
      <c r="K526">
        <v>560</v>
      </c>
      <c r="L526" s="2">
        <v>2.9050925925925928E-3</v>
      </c>
      <c r="M526" s="2">
        <v>1.4918981481481483E-2</v>
      </c>
      <c r="N526" s="2">
        <v>0</v>
      </c>
      <c r="O526" s="2">
        <v>0</v>
      </c>
      <c r="P526" s="2">
        <v>0</v>
      </c>
    </row>
    <row r="527" spans="1:16" x14ac:dyDescent="0.3">
      <c r="A527" s="1">
        <v>44883.639490740738</v>
      </c>
      <c r="B527" s="1">
        <v>44883.656319444446</v>
      </c>
      <c r="C527">
        <v>24.25</v>
      </c>
      <c r="D527" s="2">
        <v>1.6828703703703703E-2</v>
      </c>
      <c r="E527">
        <v>6.1130000000000004</v>
      </c>
      <c r="F527" s="2">
        <v>2.7430555555555559E-3</v>
      </c>
      <c r="G527">
        <v>15.13</v>
      </c>
      <c r="H527">
        <v>17.27</v>
      </c>
      <c r="I527">
        <v>177</v>
      </c>
      <c r="J527">
        <v>160</v>
      </c>
      <c r="K527">
        <v>400</v>
      </c>
      <c r="L527" s="2">
        <v>2.615740740740741E-3</v>
      </c>
      <c r="M527" s="2">
        <v>1.357638888888889E-2</v>
      </c>
      <c r="N527" s="2">
        <v>0</v>
      </c>
      <c r="O527" s="2">
        <v>0</v>
      </c>
      <c r="P527" s="2">
        <v>0</v>
      </c>
    </row>
    <row r="528" spans="1:16" x14ac:dyDescent="0.3">
      <c r="A528" s="1">
        <v>44884.851782407408</v>
      </c>
      <c r="B528" s="1">
        <v>44884.910277777781</v>
      </c>
      <c r="C528">
        <v>84.24</v>
      </c>
      <c r="D528" s="2">
        <v>5.8495370370370371E-2</v>
      </c>
      <c r="E528">
        <v>17.12</v>
      </c>
      <c r="F528" s="2">
        <v>3.414351851851852E-3</v>
      </c>
      <c r="G528">
        <v>12.19</v>
      </c>
      <c r="H528">
        <v>14.14</v>
      </c>
      <c r="I528">
        <v>157</v>
      </c>
      <c r="J528">
        <v>143</v>
      </c>
      <c r="K528">
        <v>1231</v>
      </c>
      <c r="L528" s="2">
        <v>3.2638888888888891E-3</v>
      </c>
      <c r="M528" s="2">
        <v>1.6643518518518519E-2</v>
      </c>
      <c r="N528" s="2">
        <v>3.3680555555555554E-2</v>
      </c>
      <c r="O528" s="2">
        <v>0</v>
      </c>
      <c r="P528" s="2">
        <v>0</v>
      </c>
    </row>
    <row r="529" spans="1:16" x14ac:dyDescent="0.3">
      <c r="A529" s="1">
        <v>44886.9375</v>
      </c>
      <c r="B529" s="1">
        <v>44886.978796296295</v>
      </c>
      <c r="C529">
        <v>48.74</v>
      </c>
      <c r="D529" s="2">
        <v>3.3842592592592598E-2</v>
      </c>
      <c r="E529">
        <v>10.654999999999999</v>
      </c>
      <c r="F529" s="2">
        <v>3.1712962962962958E-3</v>
      </c>
      <c r="G529">
        <v>13.12</v>
      </c>
      <c r="H529">
        <v>17.84</v>
      </c>
      <c r="I529">
        <v>169</v>
      </c>
      <c r="J529">
        <v>152</v>
      </c>
      <c r="K529">
        <v>744</v>
      </c>
      <c r="L529" s="2">
        <v>2.8472222222222219E-3</v>
      </c>
      <c r="M529" s="2">
        <v>1.4976851851851852E-2</v>
      </c>
      <c r="N529" s="2">
        <v>3.1458333333333331E-2</v>
      </c>
      <c r="O529" s="2">
        <v>0</v>
      </c>
      <c r="P529" s="2">
        <v>0</v>
      </c>
    </row>
    <row r="530" spans="1:16" x14ac:dyDescent="0.3">
      <c r="A530" s="1">
        <v>44888.757974537039</v>
      </c>
      <c r="B530" s="1">
        <v>44888.79278935185</v>
      </c>
      <c r="C530">
        <v>50.15</v>
      </c>
      <c r="D530" s="2">
        <v>3.4814814814814812E-2</v>
      </c>
      <c r="E530">
        <v>10.403</v>
      </c>
      <c r="F530" s="2">
        <v>3.3449074074074071E-3</v>
      </c>
      <c r="G530">
        <v>12.45</v>
      </c>
      <c r="H530">
        <v>15.15</v>
      </c>
      <c r="I530">
        <v>160</v>
      </c>
      <c r="J530">
        <v>142</v>
      </c>
      <c r="K530">
        <v>736</v>
      </c>
      <c r="L530" s="2">
        <v>2.8009259259259259E-3</v>
      </c>
      <c r="M530" s="2">
        <v>1.579861111111111E-2</v>
      </c>
      <c r="N530" s="2">
        <v>3.3171296296296296E-2</v>
      </c>
      <c r="O530" s="2">
        <v>0</v>
      </c>
      <c r="P530" s="2">
        <v>0</v>
      </c>
    </row>
    <row r="531" spans="1:16" x14ac:dyDescent="0.3">
      <c r="A531" s="1">
        <v>44890.271550925929</v>
      </c>
      <c r="B531" s="1">
        <v>44890.298472222225</v>
      </c>
      <c r="C531">
        <v>38.770000000000003</v>
      </c>
      <c r="D531" s="2">
        <v>2.6921296296296294E-2</v>
      </c>
      <c r="E531">
        <v>10.06</v>
      </c>
      <c r="F531" s="2">
        <v>2.673611111111111E-3</v>
      </c>
      <c r="G531">
        <v>15.57</v>
      </c>
      <c r="H531">
        <v>17.899999999999999</v>
      </c>
      <c r="I531">
        <v>189</v>
      </c>
      <c r="J531">
        <v>176</v>
      </c>
      <c r="K531">
        <v>709</v>
      </c>
      <c r="L531" s="2">
        <v>2.4537037037037036E-3</v>
      </c>
      <c r="M531" s="2">
        <v>1.2905092592592591E-2</v>
      </c>
      <c r="N531" s="2">
        <v>2.6782407407407408E-2</v>
      </c>
      <c r="O531" s="2">
        <v>0</v>
      </c>
      <c r="P531" s="2">
        <v>0</v>
      </c>
    </row>
    <row r="532" spans="1:16" x14ac:dyDescent="0.3">
      <c r="A532" s="1">
        <v>44891.86614583333</v>
      </c>
      <c r="B532" s="1">
        <v>44891.902719907404</v>
      </c>
      <c r="C532">
        <v>52.68</v>
      </c>
      <c r="D532" s="2">
        <v>3.6574074074074071E-2</v>
      </c>
      <c r="E532">
        <v>10.188000000000001</v>
      </c>
      <c r="F532" s="2">
        <v>3.5879629629629629E-3</v>
      </c>
      <c r="G532">
        <v>11.6</v>
      </c>
      <c r="H532">
        <v>14.18</v>
      </c>
      <c r="I532">
        <v>157</v>
      </c>
      <c r="J532">
        <v>146</v>
      </c>
      <c r="K532">
        <v>765</v>
      </c>
      <c r="L532" s="2">
        <v>3.4375E-3</v>
      </c>
      <c r="M532" s="2">
        <v>1.7546296296296296E-2</v>
      </c>
      <c r="N532" s="2">
        <v>3.5914351851851857E-2</v>
      </c>
      <c r="O532" s="2">
        <v>0</v>
      </c>
      <c r="P532" s="2">
        <v>0</v>
      </c>
    </row>
    <row r="533" spans="1:16" x14ac:dyDescent="0.3">
      <c r="A533" s="1">
        <v>44894.242627314816</v>
      </c>
      <c r="B533" s="1">
        <v>44894.271273148152</v>
      </c>
      <c r="C533">
        <v>41.26</v>
      </c>
      <c r="D533" s="2">
        <v>2.8645833333333332E-2</v>
      </c>
      <c r="E533">
        <v>8.5299999999999994</v>
      </c>
      <c r="F533" s="2">
        <v>3.3564814814814811E-3</v>
      </c>
      <c r="G533">
        <v>12.4</v>
      </c>
      <c r="H533">
        <v>15.58</v>
      </c>
      <c r="I533">
        <v>151</v>
      </c>
      <c r="J533">
        <v>133</v>
      </c>
      <c r="K533">
        <v>586</v>
      </c>
      <c r="L533" s="2">
        <v>3.2407407407407406E-3</v>
      </c>
      <c r="M533" s="2">
        <v>1.6770833333333332E-2</v>
      </c>
      <c r="N533" s="2">
        <v>0</v>
      </c>
      <c r="O533" s="2">
        <v>0</v>
      </c>
      <c r="P533" s="2">
        <v>0</v>
      </c>
    </row>
    <row r="534" spans="1:16" x14ac:dyDescent="0.3">
      <c r="A534" s="1">
        <v>44895.56653935185</v>
      </c>
      <c r="B534" s="1">
        <v>44895.600486111114</v>
      </c>
      <c r="C534">
        <v>48.89</v>
      </c>
      <c r="D534" s="2">
        <v>3.394675925925926E-2</v>
      </c>
      <c r="E534">
        <v>10.308</v>
      </c>
      <c r="F534" s="2">
        <v>3.2870370370370367E-3</v>
      </c>
      <c r="G534">
        <v>12.65</v>
      </c>
      <c r="H534">
        <v>14.58</v>
      </c>
      <c r="I534">
        <v>161</v>
      </c>
      <c r="J534">
        <v>149</v>
      </c>
      <c r="K534">
        <v>755</v>
      </c>
      <c r="L534" s="2">
        <v>3.0787037037037037E-3</v>
      </c>
      <c r="M534" s="2">
        <v>1.621527777777778E-2</v>
      </c>
      <c r="N534" s="2">
        <v>3.2893518518518523E-2</v>
      </c>
      <c r="O534" s="2">
        <v>0</v>
      </c>
      <c r="P534" s="2">
        <v>0</v>
      </c>
    </row>
    <row r="535" spans="1:16" x14ac:dyDescent="0.3">
      <c r="A535" s="1">
        <v>44897.258217592593</v>
      </c>
      <c r="B535" s="1">
        <v>44897.274884259263</v>
      </c>
      <c r="C535">
        <v>24</v>
      </c>
      <c r="D535" s="2">
        <v>1.6666666666666666E-2</v>
      </c>
      <c r="E535">
        <v>0.69499999999999995</v>
      </c>
      <c r="F535" s="2">
        <v>3.1365740740740742E-3</v>
      </c>
      <c r="G535">
        <v>13.25</v>
      </c>
      <c r="H535">
        <v>15.58</v>
      </c>
      <c r="I535">
        <v>161</v>
      </c>
      <c r="J535">
        <v>140</v>
      </c>
      <c r="K535">
        <v>400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</row>
    <row r="536" spans="1:16" x14ac:dyDescent="0.3">
      <c r="A536" s="1">
        <v>44899.245486111111</v>
      </c>
      <c r="B536" s="1">
        <v>44899.286932870367</v>
      </c>
      <c r="C536">
        <v>59.69</v>
      </c>
      <c r="D536" s="2">
        <v>4.144675925925926E-2</v>
      </c>
      <c r="E536">
        <v>12.531000000000001</v>
      </c>
      <c r="F536" s="2">
        <v>3.2986111111111111E-3</v>
      </c>
      <c r="G536">
        <v>12.6</v>
      </c>
      <c r="H536">
        <v>13.3</v>
      </c>
      <c r="I536">
        <v>173</v>
      </c>
      <c r="J536">
        <v>153</v>
      </c>
      <c r="K536">
        <v>918</v>
      </c>
      <c r="L536" s="2">
        <v>3.2175925925925926E-3</v>
      </c>
      <c r="M536" s="2">
        <v>1.6296296296296295E-2</v>
      </c>
      <c r="N536" s="2">
        <v>3.2939814814814811E-2</v>
      </c>
      <c r="O536" s="2">
        <v>0</v>
      </c>
      <c r="P536" s="2">
        <v>0</v>
      </c>
    </row>
    <row r="537" spans="1:16" x14ac:dyDescent="0.3">
      <c r="A537" s="1">
        <v>44901.195520833331</v>
      </c>
      <c r="B537" s="1">
        <v>44901.237233796295</v>
      </c>
      <c r="C537">
        <v>60.07</v>
      </c>
      <c r="D537" s="2">
        <v>4.1712962962962959E-2</v>
      </c>
      <c r="E537">
        <v>13.367000000000001</v>
      </c>
      <c r="F537" s="2">
        <v>3.1134259259259257E-3</v>
      </c>
      <c r="G537">
        <v>13.35</v>
      </c>
      <c r="H537">
        <v>15.89</v>
      </c>
      <c r="I537">
        <v>170</v>
      </c>
      <c r="J537">
        <v>152</v>
      </c>
      <c r="K537">
        <v>965</v>
      </c>
      <c r="L537" s="2">
        <v>2.8587962962962963E-3</v>
      </c>
      <c r="M537" s="2">
        <v>1.5381944444444443E-2</v>
      </c>
      <c r="N537" s="2">
        <v>3.0810185185185187E-2</v>
      </c>
      <c r="O537" s="2">
        <v>0</v>
      </c>
      <c r="P537" s="2">
        <v>0</v>
      </c>
    </row>
    <row r="538" spans="1:16" x14ac:dyDescent="0.3">
      <c r="A538" s="1">
        <v>44903.185439814813</v>
      </c>
      <c r="B538" s="1">
        <v>44903.224305555559</v>
      </c>
      <c r="C538">
        <v>55.97</v>
      </c>
      <c r="D538" s="2">
        <v>3.8865740740740742E-2</v>
      </c>
      <c r="E538">
        <v>12.17</v>
      </c>
      <c r="F538" s="2">
        <v>3.1828703703703702E-3</v>
      </c>
      <c r="G538">
        <v>13.05</v>
      </c>
      <c r="H538">
        <v>17.16</v>
      </c>
      <c r="I538">
        <v>159</v>
      </c>
      <c r="J538">
        <v>144</v>
      </c>
      <c r="K538">
        <v>872</v>
      </c>
      <c r="L538" s="2">
        <v>2.9398148148148148E-3</v>
      </c>
      <c r="M538" s="2">
        <v>1.577546296296296E-2</v>
      </c>
      <c r="N538" s="2">
        <v>3.1956018518518516E-2</v>
      </c>
      <c r="O538" s="2">
        <v>0</v>
      </c>
      <c r="P538" s="2">
        <v>0</v>
      </c>
    </row>
    <row r="539" spans="1:16" x14ac:dyDescent="0.3">
      <c r="A539" s="1">
        <v>44906.145740740743</v>
      </c>
      <c r="B539" s="1">
        <v>44906.185416666667</v>
      </c>
      <c r="C539">
        <v>57.14</v>
      </c>
      <c r="D539" s="2">
        <v>3.9675925925925927E-2</v>
      </c>
      <c r="E539">
        <v>13.125</v>
      </c>
      <c r="F539" s="2">
        <v>3.0208333333333333E-3</v>
      </c>
      <c r="G539">
        <v>13.78</v>
      </c>
      <c r="H539">
        <v>15.08</v>
      </c>
      <c r="I539">
        <v>179</v>
      </c>
      <c r="J539">
        <v>165</v>
      </c>
      <c r="K539">
        <v>947</v>
      </c>
      <c r="L539" s="2">
        <v>2.8587962962962963E-3</v>
      </c>
      <c r="M539" s="2">
        <v>1.494212962962963E-2</v>
      </c>
      <c r="N539" s="2">
        <v>3.0173611111111113E-2</v>
      </c>
      <c r="O539" s="2">
        <v>0</v>
      </c>
      <c r="P539" s="2">
        <v>0</v>
      </c>
    </row>
    <row r="540" spans="1:16" x14ac:dyDescent="0.3">
      <c r="A540" s="1">
        <v>44908.176296296297</v>
      </c>
      <c r="B540" s="1">
        <v>44908.215289351851</v>
      </c>
      <c r="C540">
        <v>55.88</v>
      </c>
      <c r="D540" s="2">
        <v>3.8796296296296294E-2</v>
      </c>
      <c r="E540">
        <v>12.090999999999999</v>
      </c>
      <c r="F540" s="2">
        <v>3.2060185185185191E-3</v>
      </c>
      <c r="G540">
        <v>12.98</v>
      </c>
      <c r="H540">
        <v>16.489999999999998</v>
      </c>
      <c r="I540">
        <v>173</v>
      </c>
      <c r="J540">
        <v>154</v>
      </c>
      <c r="K540">
        <v>885</v>
      </c>
      <c r="L540" s="2">
        <v>2.9861111111111113E-3</v>
      </c>
      <c r="M540" s="2">
        <v>1.579861111111111E-2</v>
      </c>
      <c r="N540" s="2">
        <v>3.2048611111111111E-2</v>
      </c>
      <c r="O540" s="2">
        <v>0</v>
      </c>
      <c r="P540" s="2">
        <v>0</v>
      </c>
    </row>
    <row r="541" spans="1:16" x14ac:dyDescent="0.3">
      <c r="A541" s="1">
        <v>44911.327916666669</v>
      </c>
      <c r="B541" s="1">
        <v>44911.355590277781</v>
      </c>
      <c r="C541">
        <v>39.869999999999997</v>
      </c>
      <c r="D541" s="2">
        <v>2.7673611111111111E-2</v>
      </c>
      <c r="E541">
        <v>10.087</v>
      </c>
      <c r="F541" s="2">
        <v>2.7430555555555559E-3</v>
      </c>
      <c r="G541">
        <v>15.18</v>
      </c>
      <c r="H541">
        <v>18.91</v>
      </c>
      <c r="I541">
        <v>180</v>
      </c>
      <c r="J541">
        <v>164</v>
      </c>
      <c r="K541">
        <v>693</v>
      </c>
      <c r="L541" s="2">
        <v>2.5231481481481481E-3</v>
      </c>
      <c r="M541" s="2">
        <v>1.3622685185185184E-2</v>
      </c>
      <c r="N541" s="2">
        <v>2.7488425925925927E-2</v>
      </c>
      <c r="O541" s="2">
        <v>0</v>
      </c>
      <c r="P541" s="2">
        <v>0</v>
      </c>
    </row>
    <row r="542" spans="1:16" x14ac:dyDescent="0.3">
      <c r="A542" s="1">
        <v>44912.838958333334</v>
      </c>
      <c r="B542" s="1">
        <v>44912.884085648147</v>
      </c>
      <c r="C542">
        <v>65</v>
      </c>
      <c r="D542" s="2">
        <v>4.5127314814814821E-2</v>
      </c>
      <c r="E542">
        <v>13.061</v>
      </c>
      <c r="F542" s="2">
        <v>3.4490740740740745E-3</v>
      </c>
      <c r="G542">
        <v>12.06</v>
      </c>
      <c r="H542">
        <v>20.420000000000002</v>
      </c>
      <c r="I542">
        <v>159</v>
      </c>
      <c r="J542">
        <v>138</v>
      </c>
      <c r="K542">
        <v>939</v>
      </c>
      <c r="L542" s="2">
        <v>3.0324074074074073E-3</v>
      </c>
      <c r="M542" s="2">
        <v>1.6805555555555556E-2</v>
      </c>
      <c r="N542" s="2">
        <v>3.4351851851851849E-2</v>
      </c>
      <c r="O542" s="2">
        <v>0</v>
      </c>
      <c r="P542" s="2">
        <v>0</v>
      </c>
    </row>
    <row r="543" spans="1:16" x14ac:dyDescent="0.3">
      <c r="A543" s="1">
        <v>44914.713472222225</v>
      </c>
      <c r="B543" s="1">
        <v>44914.745717592596</v>
      </c>
      <c r="C543">
        <v>46.45</v>
      </c>
      <c r="D543" s="2">
        <v>3.2245370370370369E-2</v>
      </c>
      <c r="E543">
        <v>10.042999999999999</v>
      </c>
      <c r="F543" s="2">
        <v>3.2060185185185191E-3</v>
      </c>
      <c r="G543">
        <v>12.97</v>
      </c>
      <c r="H543">
        <v>17.43</v>
      </c>
      <c r="I543">
        <v>172</v>
      </c>
      <c r="J543">
        <v>143</v>
      </c>
      <c r="K543">
        <v>692</v>
      </c>
      <c r="L543" s="2">
        <v>2.6041666666666665E-3</v>
      </c>
      <c r="M543" s="2">
        <v>1.4710648148148148E-2</v>
      </c>
      <c r="N543" s="2">
        <v>3.2060185185185185E-2</v>
      </c>
      <c r="O543" s="2">
        <v>0</v>
      </c>
      <c r="P543" s="2">
        <v>0</v>
      </c>
    </row>
    <row r="544" spans="1:16" x14ac:dyDescent="0.3">
      <c r="A544" s="1">
        <v>44915.916134259256</v>
      </c>
      <c r="B544" s="1">
        <v>44915.954398148147</v>
      </c>
      <c r="C544">
        <v>55.1</v>
      </c>
      <c r="D544" s="2">
        <v>3.8263888888888889E-2</v>
      </c>
      <c r="E544">
        <v>11.23</v>
      </c>
      <c r="F544" s="2">
        <v>3.4027777777777784E-3</v>
      </c>
      <c r="G544">
        <v>12.23</v>
      </c>
      <c r="H544">
        <v>16.329999999999998</v>
      </c>
      <c r="I544">
        <v>158</v>
      </c>
      <c r="J544">
        <v>136</v>
      </c>
      <c r="K544">
        <v>778</v>
      </c>
      <c r="L544" s="2">
        <v>3.1018518518518522E-3</v>
      </c>
      <c r="M544" s="2">
        <v>1.6805555555555556E-2</v>
      </c>
      <c r="N544" s="2">
        <v>3.3750000000000002E-2</v>
      </c>
      <c r="O544" s="2">
        <v>0</v>
      </c>
      <c r="P544" s="2">
        <v>0</v>
      </c>
    </row>
    <row r="545" spans="1:16" x14ac:dyDescent="0.3">
      <c r="A545" s="1">
        <v>44917.893692129626</v>
      </c>
      <c r="B545" s="1">
        <v>44917.937025462961</v>
      </c>
      <c r="C545">
        <v>62.4</v>
      </c>
      <c r="D545" s="2">
        <v>4.3321759259259261E-2</v>
      </c>
      <c r="E545">
        <v>13.513</v>
      </c>
      <c r="F545" s="2">
        <v>3.2060185185185191E-3</v>
      </c>
      <c r="G545">
        <v>12.99</v>
      </c>
      <c r="H545">
        <v>16.23</v>
      </c>
      <c r="I545">
        <v>184</v>
      </c>
      <c r="J545">
        <v>149</v>
      </c>
      <c r="K545">
        <v>983</v>
      </c>
      <c r="L545" s="2">
        <v>2.6620370370370374E-3</v>
      </c>
      <c r="M545" s="2">
        <v>1.4895833333333332E-2</v>
      </c>
      <c r="N545" s="2">
        <v>3.1284722222222221E-2</v>
      </c>
      <c r="O545" s="2">
        <v>0</v>
      </c>
      <c r="P545" s="2">
        <v>0</v>
      </c>
    </row>
    <row r="546" spans="1:16" x14ac:dyDescent="0.3">
      <c r="A546" s="1">
        <v>44921.713125000002</v>
      </c>
      <c r="B546" s="1">
        <v>44921.723449074074</v>
      </c>
      <c r="C546">
        <v>14.87</v>
      </c>
      <c r="D546" s="2">
        <v>1.0324074074074074E-2</v>
      </c>
      <c r="E546">
        <v>3.0059999999999998</v>
      </c>
      <c r="F546" s="2">
        <v>3.425925925925926E-3</v>
      </c>
      <c r="G546">
        <v>12.13</v>
      </c>
      <c r="H546">
        <v>15.58</v>
      </c>
      <c r="I546">
        <v>150</v>
      </c>
      <c r="J546">
        <v>128</v>
      </c>
      <c r="K546">
        <v>210</v>
      </c>
      <c r="L546" s="2">
        <v>2.8240740740740739E-3</v>
      </c>
      <c r="M546" s="2">
        <v>0</v>
      </c>
      <c r="N546" s="2">
        <v>0</v>
      </c>
      <c r="O546" s="2">
        <v>0</v>
      </c>
      <c r="P546" s="2">
        <v>0</v>
      </c>
    </row>
    <row r="547" spans="1:16" x14ac:dyDescent="0.3">
      <c r="A547" s="1">
        <v>44921.750185185185</v>
      </c>
      <c r="B547" s="1">
        <v>44921.777951388889</v>
      </c>
      <c r="C547">
        <v>39.979999999999997</v>
      </c>
      <c r="D547" s="2">
        <v>2.7766203703703706E-2</v>
      </c>
      <c r="E547">
        <v>8.9459999999999997</v>
      </c>
      <c r="F547" s="2">
        <v>3.0787037037037037E-3</v>
      </c>
      <c r="G547">
        <v>13.52</v>
      </c>
      <c r="H547">
        <v>18.27</v>
      </c>
      <c r="I547">
        <v>175</v>
      </c>
      <c r="J547">
        <v>147</v>
      </c>
      <c r="K547">
        <v>731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</row>
    <row r="548" spans="1:16" x14ac:dyDescent="0.3">
      <c r="A548" s="1">
        <v>44922.865370370368</v>
      </c>
      <c r="B548" s="1">
        <v>44922.915127314816</v>
      </c>
      <c r="C548">
        <v>58.93</v>
      </c>
      <c r="D548" s="2">
        <v>4.0914351851851848E-2</v>
      </c>
      <c r="E548">
        <v>11.736000000000001</v>
      </c>
      <c r="F548" s="2">
        <v>3.483796296296296E-3</v>
      </c>
      <c r="G548">
        <v>11.95</v>
      </c>
      <c r="H548">
        <v>15.62</v>
      </c>
      <c r="I548">
        <v>172</v>
      </c>
      <c r="J548">
        <v>145</v>
      </c>
      <c r="K548">
        <v>852</v>
      </c>
      <c r="L548" s="2">
        <v>3.1249999999999997E-3</v>
      </c>
      <c r="M548" s="2">
        <v>1.7326388888888888E-2</v>
      </c>
      <c r="N548" s="2">
        <v>3.4745370370370371E-2</v>
      </c>
      <c r="O548" s="2">
        <v>0</v>
      </c>
      <c r="P548" s="2">
        <v>0</v>
      </c>
    </row>
    <row r="549" spans="1:16" x14ac:dyDescent="0.3">
      <c r="A549" s="1">
        <v>44923.747094907405</v>
      </c>
      <c r="B549" s="1">
        <v>44923.764456018522</v>
      </c>
      <c r="C549">
        <v>25</v>
      </c>
      <c r="D549" s="2">
        <v>1.7361111111111112E-2</v>
      </c>
      <c r="E549">
        <v>4.3559999999999999</v>
      </c>
      <c r="F549" s="2">
        <v>3.4490740740740745E-3</v>
      </c>
      <c r="G549">
        <v>12.07</v>
      </c>
      <c r="H549">
        <v>19.28</v>
      </c>
      <c r="I549">
        <v>148</v>
      </c>
      <c r="J549">
        <v>130</v>
      </c>
      <c r="K549">
        <v>416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</row>
    <row r="550" spans="1:16" x14ac:dyDescent="0.3">
      <c r="A550" s="1">
        <v>44925.323819444442</v>
      </c>
      <c r="B550" s="1">
        <v>44925.350995370369</v>
      </c>
      <c r="C550">
        <v>39.130000000000003</v>
      </c>
      <c r="D550" s="2">
        <v>2.7164351851851853E-2</v>
      </c>
      <c r="E550">
        <v>10.029</v>
      </c>
      <c r="F550" s="2">
        <v>2.7083333333333334E-3</v>
      </c>
      <c r="G550">
        <v>15.38</v>
      </c>
      <c r="H550">
        <v>19.38</v>
      </c>
      <c r="I550">
        <v>180</v>
      </c>
      <c r="J550">
        <v>166</v>
      </c>
      <c r="K550">
        <v>686</v>
      </c>
      <c r="L550" s="2">
        <v>2.5462962962962961E-3</v>
      </c>
      <c r="M550" s="2">
        <v>1.3530092592592594E-2</v>
      </c>
      <c r="N550" s="2">
        <v>2.7118055555555552E-2</v>
      </c>
      <c r="O550" s="2">
        <v>0</v>
      </c>
      <c r="P550" s="2">
        <v>0</v>
      </c>
    </row>
    <row r="551" spans="1:16" x14ac:dyDescent="0.3">
      <c r="A551" s="1">
        <v>44926.901319444441</v>
      </c>
      <c r="B551" s="1">
        <v>44926.957048611112</v>
      </c>
      <c r="C551">
        <v>80.23</v>
      </c>
      <c r="D551" s="2">
        <v>5.5717592592592596E-2</v>
      </c>
      <c r="E551">
        <v>15.305999999999999</v>
      </c>
      <c r="F551" s="2">
        <v>3.6342592592592594E-3</v>
      </c>
      <c r="G551">
        <v>11.45</v>
      </c>
      <c r="H551">
        <v>16.559999999999999</v>
      </c>
      <c r="I551">
        <v>177</v>
      </c>
      <c r="J551">
        <v>151</v>
      </c>
      <c r="K551">
        <v>1150</v>
      </c>
      <c r="L551" s="2">
        <v>3.483796296296296E-3</v>
      </c>
      <c r="M551" s="2">
        <v>1.7916666666666668E-2</v>
      </c>
      <c r="N551" s="2">
        <v>3.5972222222222218E-2</v>
      </c>
      <c r="O551" s="2">
        <v>0</v>
      </c>
      <c r="P551" s="2">
        <v>0</v>
      </c>
    </row>
    <row r="552" spans="1:16" x14ac:dyDescent="0.3">
      <c r="A552" s="1">
        <v>44928.730787037035</v>
      </c>
      <c r="B552" s="1">
        <v>44928.772465277776</v>
      </c>
      <c r="C552">
        <v>60.02</v>
      </c>
      <c r="D552" s="2">
        <v>4.1666666666666664E-2</v>
      </c>
      <c r="E552">
        <v>14.169</v>
      </c>
      <c r="F552" s="2">
        <v>2.9398148148148148E-3</v>
      </c>
      <c r="G552">
        <v>14.17</v>
      </c>
      <c r="H552">
        <v>16.86</v>
      </c>
      <c r="I552">
        <v>191</v>
      </c>
      <c r="J552">
        <v>167</v>
      </c>
      <c r="K552">
        <v>1015</v>
      </c>
      <c r="L552" s="2">
        <v>2.5925925925925925E-3</v>
      </c>
      <c r="M552" s="2">
        <v>1.4224537037037037E-2</v>
      </c>
      <c r="N552" s="2">
        <v>2.9108796296296296E-2</v>
      </c>
      <c r="O552" s="2">
        <v>0</v>
      </c>
      <c r="P552" s="2">
        <v>0</v>
      </c>
    </row>
    <row r="553" spans="1:16" x14ac:dyDescent="0.3">
      <c r="A553" s="1">
        <v>44930.869768518518</v>
      </c>
      <c r="B553" s="1">
        <v>44930.91547453704</v>
      </c>
      <c r="C553">
        <v>65.819999999999993</v>
      </c>
      <c r="D553" s="2">
        <v>4.5694444444444447E-2</v>
      </c>
      <c r="E553">
        <v>13.590999999999999</v>
      </c>
      <c r="F553" s="2">
        <v>3.3564814814814811E-3</v>
      </c>
      <c r="G553">
        <v>12.39</v>
      </c>
      <c r="H553">
        <v>15.75</v>
      </c>
      <c r="I553">
        <v>176</v>
      </c>
      <c r="J553">
        <v>153</v>
      </c>
      <c r="K553">
        <v>998</v>
      </c>
      <c r="L553" s="2">
        <v>3.0902777777777782E-3</v>
      </c>
      <c r="M553" s="2">
        <v>1.6307870370370372E-2</v>
      </c>
      <c r="N553" s="2">
        <v>3.3483796296296296E-2</v>
      </c>
      <c r="O553" s="2">
        <v>0</v>
      </c>
      <c r="P553" s="2">
        <v>0</v>
      </c>
    </row>
    <row r="554" spans="1:16" x14ac:dyDescent="0.3">
      <c r="A554" s="1">
        <v>44931.711828703701</v>
      </c>
      <c r="B554" s="1">
        <v>44931.75172453704</v>
      </c>
      <c r="C554">
        <v>57.45</v>
      </c>
      <c r="D554" s="2">
        <v>3.9895833333333332E-2</v>
      </c>
      <c r="E554">
        <v>13.077999999999999</v>
      </c>
      <c r="F554" s="2">
        <v>3.0439814814814821E-3</v>
      </c>
      <c r="G554">
        <v>13.66</v>
      </c>
      <c r="H554">
        <v>17.13</v>
      </c>
      <c r="I554">
        <v>177</v>
      </c>
      <c r="J554">
        <v>153</v>
      </c>
      <c r="K554">
        <v>892</v>
      </c>
      <c r="L554" s="2">
        <v>2.5925925925925925E-3</v>
      </c>
      <c r="M554" s="2">
        <v>1.3715277777777778E-2</v>
      </c>
      <c r="N554" s="2">
        <v>2.8506944444444442E-2</v>
      </c>
      <c r="O554" s="2">
        <v>0</v>
      </c>
      <c r="P554" s="2">
        <v>0</v>
      </c>
    </row>
    <row r="555" spans="1:16" x14ac:dyDescent="0.3">
      <c r="A555" s="1">
        <v>44933.877013888887</v>
      </c>
      <c r="B555" s="1">
        <v>44933.942627314813</v>
      </c>
      <c r="C555">
        <v>84.52</v>
      </c>
      <c r="D555" s="2">
        <v>5.8680555555555548E-2</v>
      </c>
      <c r="E555">
        <v>16.067</v>
      </c>
      <c r="F555" s="2">
        <v>3.645833333333333E-3</v>
      </c>
      <c r="G555">
        <v>11.41</v>
      </c>
      <c r="H555">
        <v>14.95</v>
      </c>
      <c r="I555">
        <v>174</v>
      </c>
      <c r="J555">
        <v>146</v>
      </c>
      <c r="K555">
        <v>1175</v>
      </c>
      <c r="L555" s="2">
        <v>3.2754629629629631E-3</v>
      </c>
      <c r="M555" s="2">
        <v>1.726851851851852E-2</v>
      </c>
      <c r="N555" s="2">
        <v>3.577546296296296E-2</v>
      </c>
      <c r="O555" s="2">
        <v>0</v>
      </c>
      <c r="P555" s="2">
        <v>0</v>
      </c>
    </row>
    <row r="556" spans="1:16" x14ac:dyDescent="0.3">
      <c r="A556" s="1">
        <v>44935.713217592594</v>
      </c>
      <c r="B556" s="1">
        <v>44935.755486111113</v>
      </c>
      <c r="C556">
        <v>54.45</v>
      </c>
      <c r="D556" s="2">
        <v>3.7812500000000006E-2</v>
      </c>
      <c r="E556">
        <v>12.14</v>
      </c>
      <c r="F556" s="2">
        <v>3.1134259259259257E-3</v>
      </c>
      <c r="G556">
        <v>13.38</v>
      </c>
      <c r="H556">
        <v>18.91</v>
      </c>
      <c r="I556">
        <v>162</v>
      </c>
      <c r="J556">
        <v>131</v>
      </c>
      <c r="K556">
        <v>750</v>
      </c>
      <c r="L556" s="2">
        <v>2.4537037037037036E-3</v>
      </c>
      <c r="M556" s="2">
        <v>1.4641203703703703E-2</v>
      </c>
      <c r="N556" s="2">
        <v>3.1307870370370368E-2</v>
      </c>
      <c r="O556" s="2">
        <v>0</v>
      </c>
      <c r="P556" s="2">
        <v>0</v>
      </c>
    </row>
    <row r="557" spans="1:16" x14ac:dyDescent="0.3">
      <c r="A557" s="1">
        <v>44937.958541666667</v>
      </c>
      <c r="B557" s="1">
        <v>44937.997650462959</v>
      </c>
      <c r="C557">
        <v>56.32</v>
      </c>
      <c r="D557" s="2">
        <v>3.9108796296296301E-2</v>
      </c>
      <c r="E557">
        <v>12.124000000000001</v>
      </c>
      <c r="F557" s="2">
        <v>3.2175925925925926E-3</v>
      </c>
      <c r="G557">
        <v>12.92</v>
      </c>
      <c r="H557">
        <v>15.45</v>
      </c>
      <c r="I557">
        <v>167</v>
      </c>
      <c r="J557">
        <v>146</v>
      </c>
      <c r="K557">
        <v>836</v>
      </c>
      <c r="L557" s="2">
        <v>3.0092592592592588E-3</v>
      </c>
      <c r="M557" s="2">
        <v>1.545138888888889E-2</v>
      </c>
      <c r="N557" s="2">
        <v>3.1736111111111111E-2</v>
      </c>
      <c r="O557" s="2">
        <v>0</v>
      </c>
      <c r="P557" s="2">
        <v>0</v>
      </c>
    </row>
    <row r="558" spans="1:16" x14ac:dyDescent="0.3">
      <c r="A558" s="1">
        <v>44938.70385416667</v>
      </c>
      <c r="B558" s="1">
        <v>44938.741238425922</v>
      </c>
      <c r="C558">
        <v>50.07</v>
      </c>
      <c r="D558" s="2">
        <v>3.4768518518518525E-2</v>
      </c>
      <c r="E558">
        <v>10.308999999999999</v>
      </c>
      <c r="F558" s="2">
        <v>3.3680555555555551E-3</v>
      </c>
      <c r="G558">
        <v>12.35</v>
      </c>
      <c r="H558">
        <v>15.89</v>
      </c>
      <c r="I558">
        <v>151</v>
      </c>
      <c r="J558">
        <v>136</v>
      </c>
      <c r="K558">
        <v>705</v>
      </c>
      <c r="L558" s="2">
        <v>3.1597222222222222E-3</v>
      </c>
      <c r="M558" s="2">
        <v>1.6284722222222221E-2</v>
      </c>
      <c r="N558" s="2">
        <v>3.3726851851851855E-2</v>
      </c>
      <c r="O558" s="2">
        <v>0</v>
      </c>
      <c r="P558" s="2">
        <v>0</v>
      </c>
    </row>
    <row r="559" spans="1:16" x14ac:dyDescent="0.3">
      <c r="A559" s="1">
        <v>44940.821979166663</v>
      </c>
      <c r="B559" s="1">
        <v>44940.904490740744</v>
      </c>
      <c r="C559">
        <v>112.92</v>
      </c>
      <c r="D559" s="2">
        <v>7.8414351851851846E-2</v>
      </c>
      <c r="E559">
        <v>22.222000000000001</v>
      </c>
      <c r="F559" s="2">
        <v>3.5185185185185185E-3</v>
      </c>
      <c r="G559">
        <v>11.81</v>
      </c>
      <c r="H559">
        <v>16.66</v>
      </c>
      <c r="I559">
        <v>174</v>
      </c>
      <c r="J559">
        <v>150</v>
      </c>
      <c r="K559">
        <v>1647</v>
      </c>
      <c r="L559" s="2">
        <v>3.2523148148148151E-3</v>
      </c>
      <c r="M559" s="2">
        <v>1.741898148148148E-2</v>
      </c>
      <c r="N559" s="2">
        <v>3.5034722222222224E-2</v>
      </c>
      <c r="O559" s="2">
        <v>7.4398148148148144E-2</v>
      </c>
      <c r="P559" s="2">
        <v>0</v>
      </c>
    </row>
    <row r="560" spans="1:16" x14ac:dyDescent="0.3">
      <c r="A560" s="1">
        <v>44941.690393518518</v>
      </c>
      <c r="B560" s="1">
        <v>44941.706087962964</v>
      </c>
      <c r="C560">
        <v>22.3</v>
      </c>
      <c r="D560" s="2">
        <v>1.5486111111111112E-2</v>
      </c>
      <c r="E560">
        <v>5.1040000000000001</v>
      </c>
      <c r="F560" s="2">
        <v>3.0324074074074073E-3</v>
      </c>
      <c r="G560">
        <v>13.73</v>
      </c>
      <c r="H560">
        <v>15.55</v>
      </c>
      <c r="I560">
        <v>162</v>
      </c>
      <c r="J560">
        <v>145</v>
      </c>
      <c r="K560">
        <v>348</v>
      </c>
      <c r="L560" s="2">
        <v>2.9166666666666668E-3</v>
      </c>
      <c r="M560" s="2">
        <v>1.5127314814814816E-2</v>
      </c>
      <c r="N560" s="2">
        <v>0</v>
      </c>
      <c r="O560" s="2">
        <v>0</v>
      </c>
      <c r="P560" s="2">
        <v>0</v>
      </c>
    </row>
    <row r="561" spans="1:16" x14ac:dyDescent="0.3">
      <c r="A561" s="1">
        <v>44942.803611111114</v>
      </c>
      <c r="B561" s="1">
        <v>44942.837754629632</v>
      </c>
      <c r="C561">
        <v>49.17</v>
      </c>
      <c r="D561" s="2">
        <v>3.4131944444444444E-2</v>
      </c>
      <c r="E561">
        <v>10.413</v>
      </c>
      <c r="F561" s="2">
        <v>3.2754629629629631E-3</v>
      </c>
      <c r="G561">
        <v>12.71</v>
      </c>
      <c r="H561">
        <v>17.16</v>
      </c>
      <c r="I561">
        <v>179</v>
      </c>
      <c r="J561">
        <v>156</v>
      </c>
      <c r="K561">
        <v>759</v>
      </c>
      <c r="L561" s="2">
        <v>2.6620370370370374E-3</v>
      </c>
      <c r="M561" s="2">
        <v>1.5046296296296295E-2</v>
      </c>
      <c r="N561" s="2">
        <v>3.2569444444444443E-2</v>
      </c>
      <c r="O561" s="2">
        <v>0</v>
      </c>
      <c r="P561" s="2">
        <v>0</v>
      </c>
    </row>
    <row r="562" spans="1:16" x14ac:dyDescent="0.3">
      <c r="A562" s="1">
        <v>44943.866215277776</v>
      </c>
      <c r="B562" s="1">
        <v>44943.885925925926</v>
      </c>
      <c r="C562">
        <v>28.38</v>
      </c>
      <c r="D562" s="2">
        <v>1.9699074074074074E-2</v>
      </c>
      <c r="E562">
        <v>5.3559999999999999</v>
      </c>
      <c r="F562" s="2">
        <v>3.6689814814814814E-3</v>
      </c>
      <c r="G562">
        <v>11.32</v>
      </c>
      <c r="H562">
        <v>15.89</v>
      </c>
      <c r="I562">
        <v>186</v>
      </c>
      <c r="J562">
        <v>154</v>
      </c>
      <c r="K562">
        <v>400</v>
      </c>
      <c r="L562" s="2">
        <v>3.425925925925926E-3</v>
      </c>
      <c r="M562" s="2">
        <v>1.8379629629629628E-2</v>
      </c>
      <c r="N562" s="2">
        <v>0</v>
      </c>
      <c r="O562" s="2">
        <v>0</v>
      </c>
      <c r="P562" s="2">
        <v>0</v>
      </c>
    </row>
    <row r="563" spans="1:16" x14ac:dyDescent="0.3">
      <c r="A563" s="1">
        <v>44946.234780092593</v>
      </c>
      <c r="B563" s="1">
        <v>44946.330555555556</v>
      </c>
      <c r="C563">
        <v>135.05000000000001</v>
      </c>
      <c r="D563" s="2">
        <v>9.3784722222222228E-2</v>
      </c>
      <c r="E563">
        <v>26.364000000000001</v>
      </c>
      <c r="F563" s="2">
        <v>3.5532407407407405E-3</v>
      </c>
      <c r="G563">
        <v>11.71</v>
      </c>
      <c r="H563">
        <v>14.61</v>
      </c>
      <c r="I563">
        <v>180</v>
      </c>
      <c r="J563">
        <v>152</v>
      </c>
      <c r="K563">
        <v>1948</v>
      </c>
      <c r="L563" s="2">
        <v>3.3680555555555551E-3</v>
      </c>
      <c r="M563" s="2">
        <v>1.741898148148148E-2</v>
      </c>
      <c r="N563" s="2">
        <v>3.5173611111111107E-2</v>
      </c>
      <c r="O563" s="2">
        <v>7.5069444444444453E-2</v>
      </c>
      <c r="P563" s="2">
        <v>0</v>
      </c>
    </row>
    <row r="564" spans="1:16" x14ac:dyDescent="0.3">
      <c r="A564" s="1">
        <v>44947.785543981481</v>
      </c>
      <c r="B564" s="1">
        <v>44947.838761574072</v>
      </c>
      <c r="C564">
        <v>74.87</v>
      </c>
      <c r="D564" s="2">
        <v>5.1979166666666667E-2</v>
      </c>
      <c r="E564">
        <v>15.208</v>
      </c>
      <c r="F564" s="2">
        <v>3.414351851851852E-3</v>
      </c>
      <c r="G564">
        <v>12.19</v>
      </c>
      <c r="H564">
        <v>17.16</v>
      </c>
      <c r="I564">
        <v>161</v>
      </c>
      <c r="J564">
        <v>141</v>
      </c>
      <c r="K564">
        <v>1078</v>
      </c>
      <c r="L564" s="2">
        <v>2.7893518518518519E-3</v>
      </c>
      <c r="M564" s="2">
        <v>1.653935185185185E-2</v>
      </c>
      <c r="N564" s="2">
        <v>3.4513888888888893E-2</v>
      </c>
      <c r="O564" s="2">
        <v>0</v>
      </c>
      <c r="P564" s="2">
        <v>0</v>
      </c>
    </row>
    <row r="565" spans="1:16" x14ac:dyDescent="0.3">
      <c r="A565" s="1">
        <v>44949.712488425925</v>
      </c>
      <c r="B565" s="1">
        <v>44949.747152777774</v>
      </c>
      <c r="C565">
        <v>47.9</v>
      </c>
      <c r="D565" s="2">
        <v>3.3252314814814811E-2</v>
      </c>
      <c r="E565">
        <v>10.151999999999999</v>
      </c>
      <c r="F565" s="2">
        <v>3.2754629629629631E-3</v>
      </c>
      <c r="G565">
        <v>12.72</v>
      </c>
      <c r="H565">
        <v>19.38</v>
      </c>
      <c r="I565">
        <v>163</v>
      </c>
      <c r="J565">
        <v>141</v>
      </c>
      <c r="K565">
        <v>700</v>
      </c>
      <c r="L565" s="2">
        <v>2.5000000000000001E-3</v>
      </c>
      <c r="M565" s="2">
        <v>1.5196759259259259E-2</v>
      </c>
      <c r="N565" s="2">
        <v>3.2673611111111105E-2</v>
      </c>
      <c r="O565" s="2">
        <v>0</v>
      </c>
      <c r="P565" s="2">
        <v>0</v>
      </c>
    </row>
    <row r="566" spans="1:16" x14ac:dyDescent="0.3">
      <c r="A566" s="1">
        <v>44951.746539351851</v>
      </c>
      <c r="B566" s="1">
        <v>44951.768923611111</v>
      </c>
      <c r="C566">
        <v>32.229999999999997</v>
      </c>
      <c r="D566" s="2">
        <v>2.238425925925926E-2</v>
      </c>
      <c r="E566">
        <v>6.508</v>
      </c>
      <c r="F566" s="2">
        <v>3.4375E-3</v>
      </c>
      <c r="G566">
        <v>12.11</v>
      </c>
      <c r="H566">
        <v>16.66</v>
      </c>
      <c r="I566">
        <v>181</v>
      </c>
      <c r="J566">
        <v>163</v>
      </c>
      <c r="K566">
        <v>498</v>
      </c>
      <c r="L566" s="2">
        <v>3.0092592592592588E-3</v>
      </c>
      <c r="M566" s="2">
        <v>1.6921296296296299E-2</v>
      </c>
      <c r="N566" s="2">
        <v>0</v>
      </c>
      <c r="O566" s="2">
        <v>0</v>
      </c>
      <c r="P566" s="2">
        <v>0</v>
      </c>
    </row>
    <row r="567" spans="1:16" x14ac:dyDescent="0.3">
      <c r="A567" s="1">
        <v>44953.23541666667</v>
      </c>
      <c r="B567" s="1">
        <v>44953.337939814817</v>
      </c>
      <c r="C567">
        <v>143.05000000000001</v>
      </c>
      <c r="D567" s="2">
        <v>9.9340277777777777E-2</v>
      </c>
      <c r="E567">
        <v>28.407</v>
      </c>
      <c r="F567" s="2">
        <v>3.4953703703703705E-3</v>
      </c>
      <c r="G567">
        <v>11.91</v>
      </c>
      <c r="H567">
        <v>14.78</v>
      </c>
      <c r="I567">
        <v>184</v>
      </c>
      <c r="J567">
        <v>157</v>
      </c>
      <c r="K567">
        <v>2126</v>
      </c>
      <c r="L567" s="2">
        <v>2.9513888888888888E-3</v>
      </c>
      <c r="M567" s="2">
        <v>1.6701388888888887E-2</v>
      </c>
      <c r="N567" s="2">
        <v>3.4166666666666672E-2</v>
      </c>
      <c r="O567" s="2">
        <v>7.3136574074074076E-2</v>
      </c>
      <c r="P567" s="2">
        <v>0</v>
      </c>
    </row>
    <row r="568" spans="1:16" x14ac:dyDescent="0.3">
      <c r="A568" s="1">
        <v>44954.907731481479</v>
      </c>
      <c r="B568" s="1">
        <v>44954.974791666667</v>
      </c>
      <c r="C568">
        <v>80.069999999999993</v>
      </c>
      <c r="D568" s="2">
        <v>5.559027777777778E-2</v>
      </c>
      <c r="E568">
        <v>15.153</v>
      </c>
      <c r="F568" s="2">
        <v>3.6689814814814814E-3</v>
      </c>
      <c r="G568">
        <v>11.36</v>
      </c>
      <c r="H568">
        <v>13.67</v>
      </c>
      <c r="I568">
        <v>171</v>
      </c>
      <c r="J568">
        <v>147</v>
      </c>
      <c r="K568">
        <v>1128</v>
      </c>
      <c r="L568" s="2">
        <v>3.3564814814814811E-3</v>
      </c>
      <c r="M568" s="2">
        <v>1.7858796296296296E-2</v>
      </c>
      <c r="N568" s="2">
        <v>3.6319444444444439E-2</v>
      </c>
      <c r="O568" s="2">
        <v>0</v>
      </c>
      <c r="P568" s="2">
        <v>0</v>
      </c>
    </row>
    <row r="569" spans="1:16" x14ac:dyDescent="0.3">
      <c r="A569" s="1">
        <v>44955.753263888888</v>
      </c>
      <c r="B569" s="1">
        <v>44955.774050925924</v>
      </c>
      <c r="C569">
        <v>29.93</v>
      </c>
      <c r="D569" s="2">
        <v>2.0787037037037038E-2</v>
      </c>
      <c r="E569">
        <v>6.1550000000000002</v>
      </c>
      <c r="F569" s="2">
        <v>3.3680555555555551E-3</v>
      </c>
      <c r="G569">
        <v>12.34</v>
      </c>
      <c r="H569">
        <v>19.05</v>
      </c>
      <c r="I569">
        <v>148</v>
      </c>
      <c r="J569">
        <v>134</v>
      </c>
      <c r="K569">
        <v>415</v>
      </c>
      <c r="L569" s="2">
        <v>3.0208333333333333E-3</v>
      </c>
      <c r="M569" s="2">
        <v>1.6516203703703703E-2</v>
      </c>
      <c r="N569" s="2">
        <v>0</v>
      </c>
      <c r="O569" s="2">
        <v>0</v>
      </c>
      <c r="P569" s="2">
        <v>0</v>
      </c>
    </row>
    <row r="570" spans="1:16" x14ac:dyDescent="0.3">
      <c r="A570" s="1">
        <v>44956.712650462963</v>
      </c>
      <c r="B570" s="1">
        <v>44956.748425925929</v>
      </c>
      <c r="C570">
        <v>51.52</v>
      </c>
      <c r="D570" s="2">
        <v>3.5763888888888887E-2</v>
      </c>
      <c r="E570">
        <v>12.127000000000001</v>
      </c>
      <c r="F570" s="2">
        <v>2.9398148148148148E-3</v>
      </c>
      <c r="G570">
        <v>14.12</v>
      </c>
      <c r="H570">
        <v>17.059999999999999</v>
      </c>
      <c r="I570">
        <v>188</v>
      </c>
      <c r="J570">
        <v>157</v>
      </c>
      <c r="K570">
        <v>841</v>
      </c>
      <c r="L570" s="2">
        <v>2.6504629629629625E-3</v>
      </c>
      <c r="M570" s="2">
        <v>1.4178240740740741E-2</v>
      </c>
      <c r="N570" s="2">
        <v>2.8680555555555553E-2</v>
      </c>
      <c r="O570" s="2">
        <v>0</v>
      </c>
      <c r="P570" s="2">
        <v>0</v>
      </c>
    </row>
    <row r="571" spans="1:16" x14ac:dyDescent="0.3">
      <c r="A571" s="1">
        <v>44958.754895833335</v>
      </c>
      <c r="B571" s="1">
        <v>44958.772777777776</v>
      </c>
      <c r="C571">
        <v>25.75</v>
      </c>
      <c r="D571" s="2">
        <v>1.7881944444444443E-2</v>
      </c>
      <c r="E571">
        <v>5.5190000000000001</v>
      </c>
      <c r="F571" s="2">
        <v>3.2407407407407406E-3</v>
      </c>
      <c r="G571">
        <v>12.82</v>
      </c>
      <c r="H571">
        <v>17.57</v>
      </c>
      <c r="I571">
        <v>154</v>
      </c>
      <c r="J571">
        <v>139</v>
      </c>
      <c r="K571">
        <v>429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</row>
    <row r="572" spans="1:16" x14ac:dyDescent="0.3">
      <c r="A572" s="1">
        <v>44960.432870370372</v>
      </c>
      <c r="B572" s="1">
        <v>44960.47934027778</v>
      </c>
      <c r="C572">
        <v>66.92</v>
      </c>
      <c r="D572" s="2">
        <v>4.6469907407407411E-2</v>
      </c>
      <c r="E572">
        <v>15.52</v>
      </c>
      <c r="F572" s="2">
        <v>2.9861111111111113E-3</v>
      </c>
      <c r="G572">
        <v>13.92</v>
      </c>
      <c r="H572">
        <v>16.93</v>
      </c>
      <c r="I572">
        <v>176</v>
      </c>
      <c r="J572">
        <v>156</v>
      </c>
      <c r="K572">
        <v>1073</v>
      </c>
      <c r="L572" s="2">
        <v>2.6388888888888885E-3</v>
      </c>
      <c r="M572" s="2">
        <v>1.4513888888888889E-2</v>
      </c>
      <c r="N572" s="2">
        <v>2.9548611111111109E-2</v>
      </c>
      <c r="O572" s="2">
        <v>0</v>
      </c>
      <c r="P572" s="2">
        <v>0</v>
      </c>
    </row>
    <row r="573" spans="1:16" x14ac:dyDescent="0.3">
      <c r="A573" s="1">
        <v>44961.907638888886</v>
      </c>
      <c r="B573" s="1">
        <v>44961.950995370367</v>
      </c>
      <c r="C573">
        <v>62.43</v>
      </c>
      <c r="D573" s="2">
        <v>4.3344907407407408E-2</v>
      </c>
      <c r="E573">
        <v>12.528</v>
      </c>
      <c r="F573" s="2">
        <v>3.4606481481481485E-3</v>
      </c>
      <c r="G573">
        <v>12.04</v>
      </c>
      <c r="H573">
        <v>15.32</v>
      </c>
      <c r="I573">
        <v>164</v>
      </c>
      <c r="J573">
        <v>142</v>
      </c>
      <c r="K573">
        <v>911</v>
      </c>
      <c r="L573" s="2">
        <v>3.2638888888888891E-3</v>
      </c>
      <c r="M573" s="2">
        <v>1.7175925925925924E-2</v>
      </c>
      <c r="N573" s="2">
        <v>3.4733796296296297E-2</v>
      </c>
      <c r="O573" s="2">
        <v>0</v>
      </c>
      <c r="P573" s="2">
        <v>0</v>
      </c>
    </row>
    <row r="574" spans="1:16" x14ac:dyDescent="0.3">
      <c r="A574" s="1">
        <v>44962.686724537038</v>
      </c>
      <c r="B574" s="1">
        <v>44962.703379629631</v>
      </c>
      <c r="C574">
        <v>23.68</v>
      </c>
      <c r="D574" s="2">
        <v>1.6446759259259262E-2</v>
      </c>
      <c r="E574">
        <v>5.0289999999999999</v>
      </c>
      <c r="F574" s="2">
        <v>3.2638888888888891E-3</v>
      </c>
      <c r="G574">
        <v>12.74</v>
      </c>
      <c r="H574">
        <v>16.260000000000002</v>
      </c>
      <c r="I574">
        <v>157</v>
      </c>
      <c r="J574">
        <v>140</v>
      </c>
      <c r="K574">
        <v>351</v>
      </c>
      <c r="L574" s="2">
        <v>3.1249999999999997E-3</v>
      </c>
      <c r="M574" s="2">
        <v>1.6354166666666666E-2</v>
      </c>
      <c r="N574" s="2">
        <v>0</v>
      </c>
      <c r="O574" s="2">
        <v>0</v>
      </c>
      <c r="P574" s="2">
        <v>0</v>
      </c>
    </row>
    <row r="575" spans="1:16" x14ac:dyDescent="0.3">
      <c r="A575" s="1">
        <v>44963.712546296294</v>
      </c>
      <c r="B575" s="1">
        <v>44963.748229166667</v>
      </c>
      <c r="C575">
        <v>51.38</v>
      </c>
      <c r="D575" s="2">
        <v>3.5671296296296298E-2</v>
      </c>
      <c r="E575">
        <v>9.9019999999999992</v>
      </c>
      <c r="F575" s="2">
        <v>3.2060185185185191E-3</v>
      </c>
      <c r="G575">
        <v>12.96</v>
      </c>
      <c r="H575">
        <v>21.77</v>
      </c>
      <c r="I575">
        <v>159</v>
      </c>
      <c r="J575">
        <v>142</v>
      </c>
      <c r="K575">
        <v>856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</row>
    <row r="576" spans="1:16" x14ac:dyDescent="0.3">
      <c r="A576" s="1">
        <v>44965.751006944447</v>
      </c>
      <c r="B576" s="1">
        <v>44965.787361111114</v>
      </c>
      <c r="C576">
        <v>52.35</v>
      </c>
      <c r="D576" s="2">
        <v>3.6354166666666667E-2</v>
      </c>
      <c r="E576">
        <v>8.2590000000000003</v>
      </c>
      <c r="F576" s="2">
        <v>3.5879629629629629E-3</v>
      </c>
      <c r="G576">
        <v>11.58</v>
      </c>
      <c r="H576">
        <v>18.809999999999999</v>
      </c>
      <c r="I576">
        <v>171</v>
      </c>
      <c r="J576">
        <v>133</v>
      </c>
      <c r="K576">
        <v>870</v>
      </c>
      <c r="L576" s="2">
        <v>4.5601851851851853E-3</v>
      </c>
      <c r="M576" s="2">
        <v>2.2847222222222224E-2</v>
      </c>
      <c r="N576" s="2">
        <v>0</v>
      </c>
      <c r="O576" s="2">
        <v>0</v>
      </c>
      <c r="P576" s="2">
        <v>0</v>
      </c>
    </row>
    <row r="577" spans="1:16" x14ac:dyDescent="0.3">
      <c r="A577" s="1">
        <v>44967.302789351852</v>
      </c>
      <c r="B577" s="1">
        <v>44967.328657407408</v>
      </c>
      <c r="C577">
        <v>37.25</v>
      </c>
      <c r="D577" s="2">
        <v>2.5868055555555557E-2</v>
      </c>
      <c r="E577">
        <v>10.042</v>
      </c>
      <c r="F577" s="2">
        <v>2.5694444444444445E-3</v>
      </c>
      <c r="G577">
        <v>16.18</v>
      </c>
      <c r="H577">
        <v>18.14</v>
      </c>
      <c r="I577">
        <v>187</v>
      </c>
      <c r="J577">
        <v>171</v>
      </c>
      <c r="K577">
        <v>678</v>
      </c>
      <c r="L577" s="2">
        <v>2.4189814814814816E-3</v>
      </c>
      <c r="M577" s="2">
        <v>1.275462962962963E-2</v>
      </c>
      <c r="N577" s="2">
        <v>2.5775462962962962E-2</v>
      </c>
      <c r="O577" s="2">
        <v>0</v>
      </c>
      <c r="P577" s="2">
        <v>0</v>
      </c>
    </row>
    <row r="578" spans="1:16" x14ac:dyDescent="0.3">
      <c r="A578" s="1">
        <v>44968.939629629633</v>
      </c>
      <c r="B578" s="1">
        <v>44968.982604166667</v>
      </c>
      <c r="C578">
        <v>61.88</v>
      </c>
      <c r="D578" s="2">
        <v>4.296296296296296E-2</v>
      </c>
      <c r="E578">
        <v>11.321</v>
      </c>
      <c r="F578" s="2">
        <v>3.7847222222222223E-3</v>
      </c>
      <c r="G578">
        <v>10.98</v>
      </c>
      <c r="H578">
        <v>14.44</v>
      </c>
      <c r="I578">
        <v>173</v>
      </c>
      <c r="J578">
        <v>152</v>
      </c>
      <c r="K578">
        <v>896</v>
      </c>
      <c r="L578" s="2">
        <v>3.5185185185185185E-3</v>
      </c>
      <c r="M578" s="2">
        <v>1.8888888888888889E-2</v>
      </c>
      <c r="N578" s="2">
        <v>3.7916666666666668E-2</v>
      </c>
      <c r="O578" s="2">
        <v>0</v>
      </c>
      <c r="P578" s="2">
        <v>0</v>
      </c>
    </row>
    <row r="579" spans="1:16" x14ac:dyDescent="0.3">
      <c r="A579" s="1">
        <v>44969.753923611112</v>
      </c>
      <c r="B579" s="1">
        <v>44969.765960648147</v>
      </c>
      <c r="C579">
        <v>16.72</v>
      </c>
      <c r="D579" s="2">
        <v>1.1597222222222222E-2</v>
      </c>
      <c r="E579">
        <v>3.2549999999999999</v>
      </c>
      <c r="F579" s="2">
        <v>3.5648148148148154E-3</v>
      </c>
      <c r="G579">
        <v>11.68</v>
      </c>
      <c r="H579">
        <v>22.41</v>
      </c>
      <c r="I579">
        <v>178</v>
      </c>
      <c r="J579">
        <v>154</v>
      </c>
      <c r="K579">
        <v>264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</row>
    <row r="580" spans="1:16" x14ac:dyDescent="0.3">
      <c r="A580" s="1">
        <v>44970.712337962963</v>
      </c>
      <c r="B580" s="1">
        <v>44970.754016203704</v>
      </c>
      <c r="C580">
        <v>60.02</v>
      </c>
      <c r="D580" s="2">
        <v>4.1666666666666664E-2</v>
      </c>
      <c r="E580">
        <v>13.609</v>
      </c>
      <c r="F580" s="2">
        <v>3.0555555555555557E-3</v>
      </c>
      <c r="G580">
        <v>13.61</v>
      </c>
      <c r="H580">
        <v>15.89</v>
      </c>
      <c r="I580">
        <v>174</v>
      </c>
      <c r="J580">
        <v>153</v>
      </c>
      <c r="K580">
        <v>966</v>
      </c>
      <c r="L580" s="2">
        <v>2.8356481481481479E-3</v>
      </c>
      <c r="M580" s="2">
        <v>1.4548611111111111E-2</v>
      </c>
      <c r="N580" s="2">
        <v>2.9641203703703701E-2</v>
      </c>
      <c r="O580" s="2">
        <v>0</v>
      </c>
      <c r="P580" s="2">
        <v>0</v>
      </c>
    </row>
    <row r="581" spans="1:16" x14ac:dyDescent="0.3">
      <c r="A581" s="1">
        <v>44972.961180555554</v>
      </c>
      <c r="B581" s="1">
        <v>44972.99009259259</v>
      </c>
      <c r="C581">
        <v>41.63</v>
      </c>
      <c r="D581" s="2">
        <v>2.8900462962962961E-2</v>
      </c>
      <c r="E581">
        <v>8.5549999999999997</v>
      </c>
      <c r="F581" s="2">
        <v>3.3680555555555551E-3</v>
      </c>
      <c r="G581">
        <v>12.33</v>
      </c>
      <c r="H581">
        <v>16.39</v>
      </c>
      <c r="I581">
        <v>176</v>
      </c>
      <c r="J581">
        <v>160</v>
      </c>
      <c r="K581">
        <v>633</v>
      </c>
      <c r="L581" s="2">
        <v>3.2291666666666666E-3</v>
      </c>
      <c r="M581" s="2">
        <v>1.6793981481481483E-2</v>
      </c>
      <c r="N581" s="2">
        <v>0</v>
      </c>
      <c r="O581" s="2">
        <v>0</v>
      </c>
      <c r="P581" s="2">
        <v>0</v>
      </c>
    </row>
    <row r="582" spans="1:16" x14ac:dyDescent="0.3">
      <c r="A582" s="1">
        <v>44974.313657407409</v>
      </c>
      <c r="B582" s="1">
        <v>44974.420381944445</v>
      </c>
      <c r="C582">
        <v>153.68</v>
      </c>
      <c r="D582" s="2">
        <v>0.10672453703703703</v>
      </c>
      <c r="E582">
        <v>30.053000000000001</v>
      </c>
      <c r="F582" s="2">
        <v>3.5416666666666665E-3</v>
      </c>
      <c r="G582">
        <v>11.73</v>
      </c>
      <c r="H582">
        <v>17.16</v>
      </c>
      <c r="I582">
        <v>181</v>
      </c>
      <c r="J582">
        <v>158</v>
      </c>
      <c r="K582">
        <v>2287</v>
      </c>
      <c r="L582" s="2">
        <v>2.7199074074074074E-3</v>
      </c>
      <c r="M582" s="2">
        <v>1.5902777777777776E-2</v>
      </c>
      <c r="N582" s="2">
        <v>3.2615740740740744E-2</v>
      </c>
      <c r="O582" s="2">
        <v>7.1365740740740743E-2</v>
      </c>
      <c r="P582" s="2">
        <v>0</v>
      </c>
    </row>
    <row r="583" spans="1:16" x14ac:dyDescent="0.3">
      <c r="A583" s="1">
        <v>44975.782349537039</v>
      </c>
      <c r="B583" s="1">
        <v>44975.802083333336</v>
      </c>
      <c r="C583">
        <v>28.42</v>
      </c>
      <c r="D583" s="2">
        <v>1.9733796296296298E-2</v>
      </c>
      <c r="E583">
        <v>5.4050000000000002</v>
      </c>
      <c r="F583" s="2">
        <v>3.645833333333333E-3</v>
      </c>
      <c r="G583">
        <v>11.41</v>
      </c>
      <c r="H583">
        <v>12.97</v>
      </c>
      <c r="I583">
        <v>163</v>
      </c>
      <c r="J583">
        <v>143</v>
      </c>
      <c r="K583">
        <v>398</v>
      </c>
      <c r="L583" s="2">
        <v>3.4606481481481485E-3</v>
      </c>
      <c r="M583" s="2">
        <v>1.8229166666666668E-2</v>
      </c>
      <c r="N583" s="2">
        <v>0</v>
      </c>
      <c r="O583" s="2">
        <v>0</v>
      </c>
      <c r="P583" s="2">
        <v>0</v>
      </c>
    </row>
    <row r="584" spans="1:16" x14ac:dyDescent="0.3">
      <c r="A584" s="1">
        <v>44977.713680555556</v>
      </c>
      <c r="B584" s="1">
        <v>44977.743969907409</v>
      </c>
      <c r="C584">
        <v>43.62</v>
      </c>
      <c r="D584" s="2">
        <v>3.0289351851851855E-2</v>
      </c>
      <c r="E584">
        <v>9.1069999999999993</v>
      </c>
      <c r="F584" s="2">
        <v>3.3217592592592591E-3</v>
      </c>
      <c r="G584">
        <v>12.53</v>
      </c>
      <c r="H584">
        <v>16.16</v>
      </c>
      <c r="I584">
        <v>165</v>
      </c>
      <c r="J584">
        <v>140</v>
      </c>
      <c r="K584">
        <v>639</v>
      </c>
      <c r="L584" s="2">
        <v>2.7893518518518519E-3</v>
      </c>
      <c r="M584" s="2">
        <v>1.556712962962963E-2</v>
      </c>
      <c r="N584" s="2">
        <v>0</v>
      </c>
      <c r="O584" s="2">
        <v>0</v>
      </c>
      <c r="P584" s="2">
        <v>0</v>
      </c>
    </row>
    <row r="585" spans="1:16" x14ac:dyDescent="0.3">
      <c r="A585" s="1">
        <v>44979.728460648148</v>
      </c>
      <c r="B585" s="1">
        <v>44979.768518518518</v>
      </c>
      <c r="C585">
        <v>56.72</v>
      </c>
      <c r="D585" s="2">
        <v>3.9386574074074074E-2</v>
      </c>
      <c r="E585">
        <v>11.108000000000001</v>
      </c>
      <c r="F585" s="2">
        <v>3.5416666666666665E-3</v>
      </c>
      <c r="G585">
        <v>11.75</v>
      </c>
      <c r="H585">
        <v>15.82</v>
      </c>
      <c r="I585">
        <v>149</v>
      </c>
      <c r="J585">
        <v>136</v>
      </c>
      <c r="K585">
        <v>799</v>
      </c>
      <c r="L585" s="2">
        <v>3.3101851851851851E-3</v>
      </c>
      <c r="M585" s="2">
        <v>1.7083333333333336E-2</v>
      </c>
      <c r="N585" s="2">
        <v>3.5034722222222224E-2</v>
      </c>
      <c r="O585" s="2">
        <v>0</v>
      </c>
      <c r="P585" s="2">
        <v>0</v>
      </c>
    </row>
    <row r="586" spans="1:16" x14ac:dyDescent="0.3">
      <c r="A586" s="1">
        <v>44981.256712962961</v>
      </c>
      <c r="B586" s="1">
        <v>44981.316817129627</v>
      </c>
      <c r="C586">
        <v>86.55</v>
      </c>
      <c r="D586" s="2">
        <v>6.0092592592592593E-2</v>
      </c>
      <c r="E586">
        <v>21.213000000000001</v>
      </c>
      <c r="F586" s="2">
        <v>2.8240740740740739E-3</v>
      </c>
      <c r="G586">
        <v>14.71</v>
      </c>
      <c r="H586">
        <v>17.97</v>
      </c>
      <c r="I586">
        <v>183</v>
      </c>
      <c r="J586">
        <v>162</v>
      </c>
      <c r="K586">
        <v>1469</v>
      </c>
      <c r="L586" s="2">
        <v>2.673611111111111E-3</v>
      </c>
      <c r="M586" s="2">
        <v>1.3900462962962962E-2</v>
      </c>
      <c r="N586" s="2">
        <v>2.826388888888889E-2</v>
      </c>
      <c r="O586" s="2">
        <v>5.9803240740740747E-2</v>
      </c>
      <c r="P586" s="2">
        <v>0</v>
      </c>
    </row>
    <row r="587" spans="1:16" x14ac:dyDescent="0.3">
      <c r="A587" s="1">
        <v>44982.920659722222</v>
      </c>
      <c r="B587" s="1">
        <v>44982.964849537035</v>
      </c>
      <c r="C587">
        <v>63.63</v>
      </c>
      <c r="D587" s="2">
        <v>4.4178240740740747E-2</v>
      </c>
      <c r="E587">
        <v>12.33</v>
      </c>
      <c r="F587" s="2">
        <v>3.5763888888888894E-3</v>
      </c>
      <c r="G587">
        <v>11.63</v>
      </c>
      <c r="H587">
        <v>13.07</v>
      </c>
      <c r="I587">
        <v>149</v>
      </c>
      <c r="J587">
        <v>135</v>
      </c>
      <c r="K587">
        <v>904</v>
      </c>
      <c r="L587" s="2">
        <v>3.4606481481481485E-3</v>
      </c>
      <c r="M587" s="2">
        <v>1.7731481481481483E-2</v>
      </c>
      <c r="N587" s="2">
        <v>3.5532407407407408E-2</v>
      </c>
      <c r="O587" s="2">
        <v>0</v>
      </c>
      <c r="P587" s="2">
        <v>0</v>
      </c>
    </row>
    <row r="588" spans="1:16" x14ac:dyDescent="0.3">
      <c r="A588" s="1">
        <v>44984.714490740742</v>
      </c>
      <c r="B588" s="1">
        <v>44984.745567129627</v>
      </c>
      <c r="C588">
        <v>44.75</v>
      </c>
      <c r="D588" s="2">
        <v>3.107638888888889E-2</v>
      </c>
      <c r="E588">
        <v>8.048</v>
      </c>
      <c r="F588" s="2">
        <v>3.8541666666666668E-3</v>
      </c>
      <c r="G588">
        <v>10.79</v>
      </c>
      <c r="H588">
        <v>13.98</v>
      </c>
      <c r="I588">
        <v>142</v>
      </c>
      <c r="J588">
        <v>127</v>
      </c>
      <c r="K588">
        <v>578</v>
      </c>
      <c r="L588" s="2">
        <v>3.4027777777777784E-3</v>
      </c>
      <c r="M588" s="2">
        <v>1.9027777777777779E-2</v>
      </c>
      <c r="N588" s="2">
        <v>0</v>
      </c>
      <c r="O588" s="2">
        <v>0</v>
      </c>
      <c r="P588" s="2">
        <v>0</v>
      </c>
    </row>
    <row r="589" spans="1:16" x14ac:dyDescent="0.3">
      <c r="A589" s="1">
        <v>44985.713935185187</v>
      </c>
      <c r="B589" s="1">
        <v>44985.758587962962</v>
      </c>
      <c r="C589">
        <v>51.85</v>
      </c>
      <c r="D589" s="2">
        <v>3.6006944444444446E-2</v>
      </c>
      <c r="E589">
        <v>11.004</v>
      </c>
      <c r="F589" s="2">
        <v>3.2638888888888891E-3</v>
      </c>
      <c r="G589">
        <v>12.73</v>
      </c>
      <c r="H589">
        <v>17.2</v>
      </c>
      <c r="I589">
        <v>169</v>
      </c>
      <c r="J589">
        <v>141</v>
      </c>
      <c r="K589">
        <v>759</v>
      </c>
      <c r="L589" s="2">
        <v>3.0671296296296297E-3</v>
      </c>
      <c r="M589" s="2">
        <v>1.5983796296296295E-2</v>
      </c>
      <c r="N589" s="2">
        <v>3.2314814814814817E-2</v>
      </c>
      <c r="O589" s="2">
        <v>0</v>
      </c>
      <c r="P589" s="2">
        <v>0</v>
      </c>
    </row>
    <row r="590" spans="1:16" x14ac:dyDescent="0.3">
      <c r="A590" s="1">
        <v>44988.343900462962</v>
      </c>
      <c r="B590" s="1">
        <v>44988.371122685188</v>
      </c>
      <c r="C590">
        <v>39.200000000000003</v>
      </c>
      <c r="D590" s="2">
        <v>2.7222222222222228E-2</v>
      </c>
      <c r="E590">
        <v>10.016</v>
      </c>
      <c r="F590" s="2">
        <v>2.7083333333333334E-3</v>
      </c>
      <c r="G590">
        <v>15.33</v>
      </c>
      <c r="H590">
        <v>20.56</v>
      </c>
      <c r="I590">
        <v>182</v>
      </c>
      <c r="J590">
        <v>168</v>
      </c>
      <c r="K590">
        <v>692</v>
      </c>
      <c r="L590" s="2">
        <v>2.4537037037037036E-3</v>
      </c>
      <c r="M590" s="2">
        <v>1.3275462962962963E-2</v>
      </c>
      <c r="N590" s="2">
        <v>2.7175925925925926E-2</v>
      </c>
      <c r="O590" s="2">
        <v>0</v>
      </c>
      <c r="P590" s="2">
        <v>0</v>
      </c>
    </row>
    <row r="591" spans="1:16" x14ac:dyDescent="0.3">
      <c r="A591" s="1">
        <v>44989.90457175926</v>
      </c>
      <c r="B591" s="1">
        <v>44989.959490740737</v>
      </c>
      <c r="C591">
        <v>79.08</v>
      </c>
      <c r="D591" s="2">
        <v>5.4907407407407405E-2</v>
      </c>
      <c r="E591">
        <v>15.157</v>
      </c>
      <c r="F591" s="2">
        <v>3.6226851851851854E-3</v>
      </c>
      <c r="G591">
        <v>11.5</v>
      </c>
      <c r="H591">
        <v>15.79</v>
      </c>
      <c r="I591">
        <v>172</v>
      </c>
      <c r="J591">
        <v>154</v>
      </c>
      <c r="K591">
        <v>1139</v>
      </c>
      <c r="L591" s="2">
        <v>3.2986111111111111E-3</v>
      </c>
      <c r="M591" s="2">
        <v>1.7719907407407406E-2</v>
      </c>
      <c r="N591" s="2">
        <v>3.5844907407407409E-2</v>
      </c>
      <c r="O591" s="2">
        <v>0</v>
      </c>
      <c r="P591" s="2">
        <v>0</v>
      </c>
    </row>
    <row r="592" spans="1:16" x14ac:dyDescent="0.3">
      <c r="A592" s="1">
        <v>44990.750150462962</v>
      </c>
      <c r="B592" s="1">
        <v>44990.774097222224</v>
      </c>
      <c r="C592">
        <v>34.479999999999997</v>
      </c>
      <c r="D592" s="2">
        <v>2.3946759259259261E-2</v>
      </c>
      <c r="E592">
        <v>7.101</v>
      </c>
      <c r="F592" s="2">
        <v>3.3680555555555551E-3</v>
      </c>
      <c r="G592">
        <v>12.36</v>
      </c>
      <c r="H592">
        <v>16.23</v>
      </c>
      <c r="I592">
        <v>158</v>
      </c>
      <c r="J592">
        <v>143</v>
      </c>
      <c r="K592">
        <v>508</v>
      </c>
      <c r="L592" s="2">
        <v>3.1365740740740742E-3</v>
      </c>
      <c r="M592" s="2">
        <v>1.650462962962963E-2</v>
      </c>
      <c r="N592" s="2">
        <v>0</v>
      </c>
      <c r="O592" s="2">
        <v>0</v>
      </c>
      <c r="P592" s="2">
        <v>0</v>
      </c>
    </row>
    <row r="593" spans="1:16" x14ac:dyDescent="0.3">
      <c r="A593" s="1">
        <v>44992.328159722223</v>
      </c>
      <c r="B593" s="1">
        <v>44992.367314814815</v>
      </c>
      <c r="C593">
        <v>56.38</v>
      </c>
      <c r="D593" s="2">
        <v>3.9143518518518515E-2</v>
      </c>
      <c r="E593">
        <v>11.532999999999999</v>
      </c>
      <c r="F593" s="2">
        <v>3.3912037037037036E-3</v>
      </c>
      <c r="G593">
        <v>12.27</v>
      </c>
      <c r="H593">
        <v>16.66</v>
      </c>
      <c r="I593">
        <v>161</v>
      </c>
      <c r="J593">
        <v>139</v>
      </c>
      <c r="K593">
        <v>804</v>
      </c>
      <c r="L593" s="2">
        <v>2.8819444444444444E-3</v>
      </c>
      <c r="M593" s="2">
        <v>1.6238425925925924E-2</v>
      </c>
      <c r="N593" s="2">
        <v>3.3796296296296297E-2</v>
      </c>
      <c r="O593" s="2">
        <v>0</v>
      </c>
      <c r="P593" s="2">
        <v>0</v>
      </c>
    </row>
    <row r="594" spans="1:16" x14ac:dyDescent="0.3">
      <c r="A594" s="1">
        <v>44993.824513888889</v>
      </c>
      <c r="B594" s="1">
        <v>44993.864363425928</v>
      </c>
      <c r="C594">
        <v>57.38</v>
      </c>
      <c r="D594" s="2">
        <v>3.9837962962962964E-2</v>
      </c>
      <c r="E594">
        <v>11.114000000000001</v>
      </c>
      <c r="F594" s="2">
        <v>3.5763888888888894E-3</v>
      </c>
      <c r="G594">
        <v>11.62</v>
      </c>
      <c r="H594">
        <v>13.03</v>
      </c>
      <c r="I594">
        <v>174</v>
      </c>
      <c r="J594">
        <v>154</v>
      </c>
      <c r="K594">
        <v>834</v>
      </c>
      <c r="L594" s="2">
        <v>3.425925925925926E-3</v>
      </c>
      <c r="M594" s="2">
        <v>1.7557870370370373E-2</v>
      </c>
      <c r="N594" s="2">
        <v>3.5578703703703703E-2</v>
      </c>
      <c r="O594" s="2">
        <v>0</v>
      </c>
      <c r="P594" s="2">
        <v>0</v>
      </c>
    </row>
    <row r="595" spans="1:16" x14ac:dyDescent="0.3">
      <c r="A595" s="1">
        <v>44995.637719907405</v>
      </c>
      <c r="B595" s="1">
        <v>44995.678101851852</v>
      </c>
      <c r="C595">
        <v>58.15</v>
      </c>
      <c r="D595" s="2">
        <v>4.0370370370370369E-2</v>
      </c>
      <c r="E595">
        <v>13.664</v>
      </c>
      <c r="F595" s="2">
        <v>2.9513888888888888E-3</v>
      </c>
      <c r="G595">
        <v>14.1</v>
      </c>
      <c r="H595">
        <v>18.14</v>
      </c>
      <c r="I595">
        <v>176</v>
      </c>
      <c r="J595">
        <v>155</v>
      </c>
      <c r="K595">
        <v>947</v>
      </c>
      <c r="L595" s="2">
        <v>2.5347222222222221E-3</v>
      </c>
      <c r="M595" s="2">
        <v>1.4212962962962962E-2</v>
      </c>
      <c r="N595" s="2">
        <v>2.9270833333333333E-2</v>
      </c>
      <c r="O595" s="2">
        <v>0</v>
      </c>
      <c r="P595" s="2">
        <v>0</v>
      </c>
    </row>
    <row r="596" spans="1:16" x14ac:dyDescent="0.3">
      <c r="A596" s="1">
        <v>44996.899247685185</v>
      </c>
      <c r="B596" s="1">
        <v>44996.943182870367</v>
      </c>
      <c r="C596">
        <v>63.27</v>
      </c>
      <c r="D596" s="2">
        <v>4.3923611111111115E-2</v>
      </c>
      <c r="E596">
        <v>13.303000000000001</v>
      </c>
      <c r="F596" s="2">
        <v>3.2986111111111111E-3</v>
      </c>
      <c r="G596">
        <v>12.62</v>
      </c>
      <c r="H596">
        <v>19.309999999999999</v>
      </c>
      <c r="I596">
        <v>184</v>
      </c>
      <c r="J596">
        <v>158</v>
      </c>
      <c r="K596">
        <v>983</v>
      </c>
      <c r="L596" s="2">
        <v>2.9050925925925928E-3</v>
      </c>
      <c r="M596" s="2">
        <v>1.6018518518518519E-2</v>
      </c>
      <c r="N596" s="2">
        <v>3.2696759259259259E-2</v>
      </c>
      <c r="O596" s="2">
        <v>0</v>
      </c>
      <c r="P596" s="2">
        <v>0</v>
      </c>
    </row>
    <row r="597" spans="1:16" x14ac:dyDescent="0.3">
      <c r="A597" s="1">
        <v>44998.7112037037</v>
      </c>
      <c r="B597" s="1">
        <v>44998.752488425926</v>
      </c>
      <c r="C597">
        <v>50.8</v>
      </c>
      <c r="D597" s="2">
        <v>3.5266203703703702E-2</v>
      </c>
      <c r="E597">
        <v>10.172000000000001</v>
      </c>
      <c r="F597" s="2">
        <v>3.4606481481481485E-3</v>
      </c>
      <c r="G597">
        <v>12.01</v>
      </c>
      <c r="H597">
        <v>20.49</v>
      </c>
      <c r="I597">
        <v>151</v>
      </c>
      <c r="J597">
        <v>127</v>
      </c>
      <c r="K597">
        <v>621</v>
      </c>
      <c r="L597" s="2">
        <v>2.7662037037037034E-3</v>
      </c>
      <c r="M597" s="2">
        <v>1.6354166666666666E-2</v>
      </c>
      <c r="N597" s="2">
        <v>3.4513888888888893E-2</v>
      </c>
      <c r="O597" s="2">
        <v>0</v>
      </c>
      <c r="P597" s="2">
        <v>0</v>
      </c>
    </row>
    <row r="598" spans="1:16" x14ac:dyDescent="0.3">
      <c r="A598" s="1">
        <v>45000.724328703705</v>
      </c>
      <c r="B598" s="1">
        <v>45000.76489583333</v>
      </c>
      <c r="C598">
        <v>56.5</v>
      </c>
      <c r="D598" s="2">
        <v>3.923611111111111E-2</v>
      </c>
      <c r="E598">
        <v>12.124000000000001</v>
      </c>
      <c r="F598" s="2">
        <v>3.2291666666666666E-3</v>
      </c>
      <c r="G598">
        <v>12.88</v>
      </c>
      <c r="H598">
        <v>16.93</v>
      </c>
      <c r="I598">
        <v>150</v>
      </c>
      <c r="J598">
        <v>134</v>
      </c>
      <c r="K598">
        <v>838</v>
      </c>
      <c r="L598" s="2">
        <v>3.0324074074074073E-3</v>
      </c>
      <c r="M598" s="2">
        <v>1.5497685185185186E-2</v>
      </c>
      <c r="N598" s="2">
        <v>3.2071759259259258E-2</v>
      </c>
      <c r="O598" s="2">
        <v>0</v>
      </c>
      <c r="P598" s="2">
        <v>0</v>
      </c>
    </row>
    <row r="599" spans="1:16" x14ac:dyDescent="0.3">
      <c r="A599" s="1">
        <v>45002.284722222219</v>
      </c>
      <c r="B599" s="1">
        <v>45002.345185185186</v>
      </c>
      <c r="C599">
        <v>87.07</v>
      </c>
      <c r="D599" s="2">
        <v>6.0451388888888895E-2</v>
      </c>
      <c r="E599">
        <v>21.216000000000001</v>
      </c>
      <c r="F599" s="2">
        <v>2.8472222222222219E-3</v>
      </c>
      <c r="G599">
        <v>14.62</v>
      </c>
      <c r="H599">
        <v>18.48</v>
      </c>
      <c r="I599">
        <v>173</v>
      </c>
      <c r="J599">
        <v>156</v>
      </c>
      <c r="K599">
        <v>1436</v>
      </c>
      <c r="L599" s="2">
        <v>2.4537037037037036E-3</v>
      </c>
      <c r="M599" s="2">
        <v>1.3310185185185187E-2</v>
      </c>
      <c r="N599" s="2">
        <v>2.7627314814814813E-2</v>
      </c>
      <c r="O599" s="2">
        <v>6.0150462962962968E-2</v>
      </c>
      <c r="P599" s="2">
        <v>0</v>
      </c>
    </row>
    <row r="600" spans="1:16" x14ac:dyDescent="0.3">
      <c r="A600" s="1">
        <v>45003.91128472222</v>
      </c>
      <c r="B600" s="1">
        <v>45003.956828703704</v>
      </c>
      <c r="C600">
        <v>65.58</v>
      </c>
      <c r="D600" s="2">
        <v>4.553240740740741E-2</v>
      </c>
      <c r="E600">
        <v>12.122999999999999</v>
      </c>
      <c r="F600" s="2">
        <v>3.7500000000000003E-3</v>
      </c>
      <c r="G600">
        <v>11.09</v>
      </c>
      <c r="H600">
        <v>13</v>
      </c>
      <c r="I600">
        <v>169</v>
      </c>
      <c r="J600">
        <v>144</v>
      </c>
      <c r="K600">
        <v>887</v>
      </c>
      <c r="L600" s="2">
        <v>3.530092592592592E-3</v>
      </c>
      <c r="M600" s="2">
        <v>1.8634259259259257E-2</v>
      </c>
      <c r="N600" s="2">
        <v>3.7442129629629624E-2</v>
      </c>
      <c r="O600" s="2">
        <v>0</v>
      </c>
      <c r="P600" s="2">
        <v>0</v>
      </c>
    </row>
    <row r="601" spans="1:16" x14ac:dyDescent="0.3">
      <c r="A601" s="1">
        <v>45005.711122685185</v>
      </c>
      <c r="B601" s="1">
        <v>45005.750057870369</v>
      </c>
      <c r="C601">
        <v>49.97</v>
      </c>
      <c r="D601" s="2">
        <v>3.4699074074074077E-2</v>
      </c>
      <c r="E601">
        <v>10.11</v>
      </c>
      <c r="F601" s="2">
        <v>3.425925925925926E-3</v>
      </c>
      <c r="G601">
        <v>12.14</v>
      </c>
      <c r="H601">
        <v>20.09</v>
      </c>
      <c r="I601">
        <v>179</v>
      </c>
      <c r="J601">
        <v>145</v>
      </c>
      <c r="K601">
        <v>707</v>
      </c>
      <c r="L601" s="2">
        <v>2.5925925925925925E-3</v>
      </c>
      <c r="M601" s="2">
        <v>1.5706018518518518E-2</v>
      </c>
      <c r="N601" s="2">
        <v>3.4270833333333334E-2</v>
      </c>
      <c r="O601" s="2">
        <v>0</v>
      </c>
      <c r="P601" s="2">
        <v>0</v>
      </c>
    </row>
    <row r="602" spans="1:16" x14ac:dyDescent="0.3">
      <c r="A602" s="1">
        <v>45007.714513888888</v>
      </c>
      <c r="B602" s="1">
        <v>45007.753564814811</v>
      </c>
      <c r="C602">
        <v>56.23</v>
      </c>
      <c r="D602" s="2">
        <v>3.9050925925925926E-2</v>
      </c>
      <c r="E602">
        <v>12.125</v>
      </c>
      <c r="F602" s="2">
        <v>3.2175925925925926E-3</v>
      </c>
      <c r="G602">
        <v>12.94</v>
      </c>
      <c r="H602">
        <v>22.27</v>
      </c>
      <c r="I602">
        <v>186</v>
      </c>
      <c r="J602">
        <v>164</v>
      </c>
      <c r="K602">
        <v>886</v>
      </c>
      <c r="L602" s="2">
        <v>2.8703703703703708E-3</v>
      </c>
      <c r="M602" s="2">
        <v>1.5289351851851851E-2</v>
      </c>
      <c r="N602" s="2">
        <v>3.1585648148148147E-2</v>
      </c>
      <c r="O602" s="2">
        <v>0</v>
      </c>
      <c r="P602" s="2">
        <v>0</v>
      </c>
    </row>
    <row r="603" spans="1:16" x14ac:dyDescent="0.3">
      <c r="A603" s="1">
        <v>45009.252708333333</v>
      </c>
      <c r="B603" s="1">
        <v>45009.278391203705</v>
      </c>
      <c r="C603">
        <v>36.979999999999997</v>
      </c>
      <c r="D603" s="2">
        <v>2.568287037037037E-2</v>
      </c>
      <c r="E603">
        <v>10.02</v>
      </c>
      <c r="F603" s="2">
        <v>2.5578703703703705E-3</v>
      </c>
      <c r="G603">
        <v>16.260000000000002</v>
      </c>
      <c r="H603">
        <v>20.46</v>
      </c>
      <c r="I603">
        <v>183</v>
      </c>
      <c r="J603">
        <v>169</v>
      </c>
      <c r="K603">
        <v>682</v>
      </c>
      <c r="L603" s="2">
        <v>2.4537037037037036E-3</v>
      </c>
      <c r="M603" s="2">
        <v>1.2766203703703703E-2</v>
      </c>
      <c r="N603" s="2">
        <v>2.5648148148148146E-2</v>
      </c>
      <c r="O603" s="2">
        <v>0</v>
      </c>
      <c r="P603" s="2">
        <v>0</v>
      </c>
    </row>
    <row r="604" spans="1:16" x14ac:dyDescent="0.3">
      <c r="A604" s="1">
        <v>45010.895844907405</v>
      </c>
      <c r="B604" s="1">
        <v>45010.938969907409</v>
      </c>
      <c r="C604">
        <v>62.1</v>
      </c>
      <c r="D604" s="2">
        <v>4.3124999999999997E-2</v>
      </c>
      <c r="E604">
        <v>11.632</v>
      </c>
      <c r="F604" s="2">
        <v>3.7037037037037034E-3</v>
      </c>
      <c r="G604">
        <v>11.24</v>
      </c>
      <c r="H604">
        <v>13.64</v>
      </c>
      <c r="I604">
        <v>170</v>
      </c>
      <c r="J604">
        <v>153</v>
      </c>
      <c r="K604">
        <v>885</v>
      </c>
      <c r="L604" s="2">
        <v>3.5416666666666665E-3</v>
      </c>
      <c r="M604" s="2">
        <v>1.8310185185185186E-2</v>
      </c>
      <c r="N604" s="2">
        <v>3.6979166666666667E-2</v>
      </c>
      <c r="O604" s="2">
        <v>0</v>
      </c>
      <c r="P604" s="2">
        <v>0</v>
      </c>
    </row>
    <row r="605" spans="1:16" x14ac:dyDescent="0.3">
      <c r="A605" s="1">
        <v>45012.867395833331</v>
      </c>
      <c r="B605" s="1">
        <v>45012.919502314813</v>
      </c>
      <c r="C605">
        <v>75.02</v>
      </c>
      <c r="D605" s="2">
        <v>5.2083333333333336E-2</v>
      </c>
      <c r="E605">
        <v>15.75</v>
      </c>
      <c r="F605" s="2">
        <v>3.2986111111111111E-3</v>
      </c>
      <c r="G605">
        <v>12.6</v>
      </c>
      <c r="H605">
        <v>17.87</v>
      </c>
      <c r="I605">
        <v>162</v>
      </c>
      <c r="J605">
        <v>141</v>
      </c>
      <c r="K605">
        <v>1073</v>
      </c>
      <c r="L605" s="2">
        <v>2.7893518518518519E-3</v>
      </c>
      <c r="M605" s="2">
        <v>1.5104166666666667E-2</v>
      </c>
      <c r="N605" s="2">
        <v>3.2210648148148148E-2</v>
      </c>
      <c r="O605" s="2">
        <v>0</v>
      </c>
      <c r="P605" s="2">
        <v>0</v>
      </c>
    </row>
    <row r="606" spans="1:16" x14ac:dyDescent="0.3">
      <c r="A606" s="1">
        <v>45014.706585648149</v>
      </c>
      <c r="B606" s="1">
        <v>45014.724444444444</v>
      </c>
      <c r="C606">
        <v>25.72</v>
      </c>
      <c r="D606" s="2">
        <v>1.7847222222222223E-2</v>
      </c>
      <c r="E606">
        <v>5.0519999999999996</v>
      </c>
      <c r="F606" s="2">
        <v>3.530092592592592E-3</v>
      </c>
      <c r="G606">
        <v>11.79</v>
      </c>
      <c r="H606">
        <v>13.27</v>
      </c>
      <c r="I606">
        <v>171</v>
      </c>
      <c r="J606">
        <v>148</v>
      </c>
      <c r="K606">
        <v>377</v>
      </c>
      <c r="L606" s="2">
        <v>3.414351851851852E-3</v>
      </c>
      <c r="M606" s="2">
        <v>1.7696759259259259E-2</v>
      </c>
      <c r="N606" s="2">
        <v>0</v>
      </c>
      <c r="O606" s="2">
        <v>0</v>
      </c>
      <c r="P606" s="2">
        <v>0</v>
      </c>
    </row>
    <row r="607" spans="1:16" x14ac:dyDescent="0.3">
      <c r="A607" s="1">
        <v>45016.685914351852</v>
      </c>
      <c r="B607" s="1">
        <v>45016.727187500001</v>
      </c>
      <c r="C607">
        <v>58.3</v>
      </c>
      <c r="D607" s="2">
        <v>4.0474537037037038E-2</v>
      </c>
      <c r="E607">
        <v>12.124000000000001</v>
      </c>
      <c r="F607" s="2">
        <v>3.3333333333333335E-3</v>
      </c>
      <c r="G607">
        <v>12.48</v>
      </c>
      <c r="H607">
        <v>16.23</v>
      </c>
      <c r="I607">
        <v>173</v>
      </c>
      <c r="J607">
        <v>148</v>
      </c>
      <c r="K607">
        <v>867</v>
      </c>
      <c r="L607" s="2">
        <v>3.0092592592592588E-3</v>
      </c>
      <c r="M607" s="2">
        <v>1.622685185185185E-2</v>
      </c>
      <c r="N607" s="2">
        <v>3.3171296296296296E-2</v>
      </c>
      <c r="O607" s="2">
        <v>0</v>
      </c>
      <c r="P607" s="2">
        <v>0</v>
      </c>
    </row>
    <row r="608" spans="1:16" x14ac:dyDescent="0.3">
      <c r="A608" s="1">
        <v>45018.920949074076</v>
      </c>
      <c r="B608" s="1">
        <v>45018.96733796296</v>
      </c>
      <c r="C608">
        <v>66.8</v>
      </c>
      <c r="D608" s="2">
        <v>4.6377314814814809E-2</v>
      </c>
      <c r="E608">
        <v>13.253</v>
      </c>
      <c r="F608" s="2">
        <v>3.4953703703703705E-3</v>
      </c>
      <c r="G608">
        <v>11.9</v>
      </c>
      <c r="H608">
        <v>13.91</v>
      </c>
      <c r="I608">
        <v>170</v>
      </c>
      <c r="J608">
        <v>145</v>
      </c>
      <c r="K608">
        <v>955</v>
      </c>
      <c r="L608" s="2">
        <v>3.2060185185185191E-3</v>
      </c>
      <c r="M608" s="2">
        <v>1.7094907407407409E-2</v>
      </c>
      <c r="N608" s="2">
        <v>3.4629629629629628E-2</v>
      </c>
      <c r="O608" s="2">
        <v>0</v>
      </c>
      <c r="P608" s="2">
        <v>0</v>
      </c>
    </row>
    <row r="609" spans="1:16" x14ac:dyDescent="0.3">
      <c r="A609" s="1">
        <v>45019.711631944447</v>
      </c>
      <c r="B609" s="1">
        <v>45019.765428240738</v>
      </c>
      <c r="C609">
        <v>71.47</v>
      </c>
      <c r="D609" s="2">
        <v>4.9629629629629635E-2</v>
      </c>
      <c r="E609">
        <v>15.051</v>
      </c>
      <c r="F609" s="2">
        <v>3.2870370370370367E-3</v>
      </c>
      <c r="G609">
        <v>12.64</v>
      </c>
      <c r="H609">
        <v>19.41</v>
      </c>
      <c r="I609">
        <v>168</v>
      </c>
      <c r="J609">
        <v>142</v>
      </c>
      <c r="K609">
        <v>1024</v>
      </c>
      <c r="L609" s="2">
        <v>2.5925925925925925E-3</v>
      </c>
      <c r="M609" s="2">
        <v>1.5069444444444443E-2</v>
      </c>
      <c r="N609" s="2">
        <v>3.1875000000000001E-2</v>
      </c>
      <c r="O609" s="2">
        <v>0</v>
      </c>
      <c r="P609" s="2">
        <v>0</v>
      </c>
    </row>
    <row r="610" spans="1:16" x14ac:dyDescent="0.3">
      <c r="A610" s="1">
        <v>45021.512083333335</v>
      </c>
      <c r="B610" s="1">
        <v>45021.559317129628</v>
      </c>
      <c r="C610">
        <v>68.02</v>
      </c>
      <c r="D610" s="2">
        <v>4.7222222222222221E-2</v>
      </c>
      <c r="E610">
        <v>13.304</v>
      </c>
      <c r="F610" s="2">
        <v>3.5416666666666665E-3</v>
      </c>
      <c r="G610">
        <v>11.74</v>
      </c>
      <c r="H610">
        <v>14.04</v>
      </c>
      <c r="I610">
        <v>154</v>
      </c>
      <c r="J610">
        <v>141</v>
      </c>
      <c r="K610">
        <v>949</v>
      </c>
      <c r="L610" s="2">
        <v>3.4027777777777784E-3</v>
      </c>
      <c r="M610" s="2">
        <v>1.7430555555555557E-2</v>
      </c>
      <c r="N610" s="2">
        <v>3.5254629629629629E-2</v>
      </c>
      <c r="O610" s="2">
        <v>0</v>
      </c>
      <c r="P610" s="2">
        <v>0</v>
      </c>
    </row>
    <row r="611" spans="1:16" x14ac:dyDescent="0.3">
      <c r="A611" s="1">
        <v>45022.968356481484</v>
      </c>
      <c r="B611" s="1">
        <v>45023.011678240742</v>
      </c>
      <c r="C611">
        <v>62.38</v>
      </c>
      <c r="D611" s="2">
        <v>4.3310185185185181E-2</v>
      </c>
      <c r="E611">
        <v>13.317</v>
      </c>
      <c r="F611" s="2">
        <v>3.2523148148148151E-3</v>
      </c>
      <c r="G611">
        <v>12.81</v>
      </c>
      <c r="H611">
        <v>16.36</v>
      </c>
      <c r="I611">
        <v>179</v>
      </c>
      <c r="J611">
        <v>149</v>
      </c>
      <c r="K611">
        <v>946</v>
      </c>
      <c r="L611" s="2">
        <v>2.7314814814814819E-3</v>
      </c>
      <c r="M611" s="2">
        <v>1.5092592592592593E-2</v>
      </c>
      <c r="N611" s="2">
        <v>3.1666666666666669E-2</v>
      </c>
      <c r="O611" s="2">
        <v>0</v>
      </c>
      <c r="P611" s="2">
        <v>0</v>
      </c>
    </row>
    <row r="612" spans="1:16" x14ac:dyDescent="0.3">
      <c r="A612" s="1">
        <v>45024.916504629633</v>
      </c>
      <c r="B612" s="1">
        <v>45024.973599537036</v>
      </c>
      <c r="C612">
        <v>82.22</v>
      </c>
      <c r="D612" s="2">
        <v>5.7094907407407407E-2</v>
      </c>
      <c r="E612">
        <v>16.164000000000001</v>
      </c>
      <c r="F612" s="2">
        <v>3.530092592592592E-3</v>
      </c>
      <c r="G612">
        <v>11.8</v>
      </c>
      <c r="H612">
        <v>31.78</v>
      </c>
      <c r="I612">
        <v>150</v>
      </c>
      <c r="J612">
        <v>135</v>
      </c>
      <c r="K612">
        <v>1128</v>
      </c>
      <c r="L612" s="2">
        <v>3.2523148148148151E-3</v>
      </c>
      <c r="M612" s="2">
        <v>1.7280092592592593E-2</v>
      </c>
      <c r="N612" s="2">
        <v>3.4745370370370371E-2</v>
      </c>
      <c r="O612" s="2">
        <v>0</v>
      </c>
      <c r="P612" s="2">
        <v>0</v>
      </c>
    </row>
    <row r="613" spans="1:16" x14ac:dyDescent="0.3">
      <c r="A613" s="1">
        <v>45025.74722222222</v>
      </c>
      <c r="B613" s="1">
        <v>45025.767118055555</v>
      </c>
      <c r="C613">
        <v>28.65</v>
      </c>
      <c r="D613" s="2">
        <v>1.9895833333333331E-2</v>
      </c>
      <c r="E613">
        <v>5.5540000000000003</v>
      </c>
      <c r="F613" s="2">
        <v>3.5763888888888894E-3</v>
      </c>
      <c r="G613">
        <v>11.63</v>
      </c>
      <c r="H613">
        <v>14.04</v>
      </c>
      <c r="I613">
        <v>148</v>
      </c>
      <c r="J613">
        <v>134</v>
      </c>
      <c r="K613">
        <v>393</v>
      </c>
      <c r="L613" s="2">
        <v>3.4606481481481485E-3</v>
      </c>
      <c r="M613" s="2">
        <v>1.7847222222222223E-2</v>
      </c>
      <c r="N613" s="2">
        <v>0</v>
      </c>
      <c r="O613" s="2">
        <v>0</v>
      </c>
      <c r="P613" s="2">
        <v>0</v>
      </c>
    </row>
    <row r="614" spans="1:16" x14ac:dyDescent="0.3">
      <c r="A614" s="1">
        <v>45026.887152777781</v>
      </c>
      <c r="B614" s="1">
        <v>45026.923587962963</v>
      </c>
      <c r="C614">
        <v>52.35</v>
      </c>
      <c r="D614" s="2">
        <v>3.6354166666666667E-2</v>
      </c>
      <c r="E614">
        <v>12.206</v>
      </c>
      <c r="F614" s="2">
        <v>2.9745370370370373E-3</v>
      </c>
      <c r="G614">
        <v>13.99</v>
      </c>
      <c r="H614">
        <v>16.73</v>
      </c>
      <c r="I614">
        <v>178</v>
      </c>
      <c r="J614">
        <v>155</v>
      </c>
      <c r="K614">
        <v>853</v>
      </c>
      <c r="L614" s="2">
        <v>2.6504629629629625E-3</v>
      </c>
      <c r="M614" s="2">
        <v>1.4189814814814815E-2</v>
      </c>
      <c r="N614" s="2">
        <v>2.8935185185185185E-2</v>
      </c>
      <c r="O614" s="2">
        <v>0</v>
      </c>
      <c r="P614" s="2">
        <v>0</v>
      </c>
    </row>
    <row r="615" spans="1:16" x14ac:dyDescent="0.3">
      <c r="A615" s="1">
        <v>45027.738680555558</v>
      </c>
      <c r="B615" s="1">
        <v>45027.764710648145</v>
      </c>
      <c r="C615">
        <v>37.25</v>
      </c>
      <c r="D615" s="2">
        <v>2.5868055555555557E-2</v>
      </c>
      <c r="E615">
        <v>8.5060000000000002</v>
      </c>
      <c r="F615" s="2">
        <v>3.0324074074074073E-3</v>
      </c>
      <c r="G615">
        <v>13.7</v>
      </c>
      <c r="H615">
        <v>15.99</v>
      </c>
      <c r="I615">
        <v>174</v>
      </c>
      <c r="J615">
        <v>150</v>
      </c>
      <c r="K615">
        <v>591</v>
      </c>
      <c r="L615" s="2">
        <v>2.8703703703703708E-3</v>
      </c>
      <c r="M615" s="2">
        <v>1.4849537037037036E-2</v>
      </c>
      <c r="N615" s="2">
        <v>0</v>
      </c>
      <c r="O615" s="2">
        <v>0</v>
      </c>
      <c r="P615" s="2">
        <v>0</v>
      </c>
    </row>
    <row r="616" spans="1:16" x14ac:dyDescent="0.3">
      <c r="A616" s="1">
        <v>45029.97016203704</v>
      </c>
      <c r="B616" s="1">
        <v>45030.036550925928</v>
      </c>
      <c r="C616">
        <v>95.6</v>
      </c>
      <c r="D616" s="2">
        <v>6.6377314814814806E-2</v>
      </c>
      <c r="E616">
        <v>21.510999999999999</v>
      </c>
      <c r="F616" s="2">
        <v>3.0787037037037037E-3</v>
      </c>
      <c r="G616">
        <v>13.5</v>
      </c>
      <c r="H616">
        <v>15.92</v>
      </c>
      <c r="I616">
        <v>182</v>
      </c>
      <c r="J616">
        <v>162</v>
      </c>
      <c r="K616">
        <v>1561</v>
      </c>
      <c r="L616" s="2">
        <v>2.8472222222222219E-3</v>
      </c>
      <c r="M616" s="2">
        <v>1.4791666666666668E-2</v>
      </c>
      <c r="N616" s="2">
        <v>2.989583333333333E-2</v>
      </c>
      <c r="O616" s="2">
        <v>6.4895833333333333E-2</v>
      </c>
      <c r="P616" s="2">
        <v>0</v>
      </c>
    </row>
    <row r="617" spans="1:16" x14ac:dyDescent="0.3">
      <c r="A617" s="1">
        <v>45031.938368055555</v>
      </c>
      <c r="B617" s="1">
        <v>45031.97861111111</v>
      </c>
      <c r="C617">
        <v>57.95</v>
      </c>
      <c r="D617" s="2">
        <v>4.024305555555556E-2</v>
      </c>
      <c r="E617">
        <v>11.404999999999999</v>
      </c>
      <c r="F617" s="2">
        <v>3.5185185185185185E-3</v>
      </c>
      <c r="G617">
        <v>11.81</v>
      </c>
      <c r="H617">
        <v>16.39</v>
      </c>
      <c r="I617">
        <v>167</v>
      </c>
      <c r="J617">
        <v>138</v>
      </c>
      <c r="K617">
        <v>810</v>
      </c>
      <c r="L617" s="2">
        <v>3.0439814814814821E-3</v>
      </c>
      <c r="M617" s="2">
        <v>1.6782407407407409E-2</v>
      </c>
      <c r="N617" s="2">
        <v>3.4965277777777783E-2</v>
      </c>
      <c r="O617" s="2">
        <v>0</v>
      </c>
      <c r="P617" s="2">
        <v>0</v>
      </c>
    </row>
    <row r="618" spans="1:16" x14ac:dyDescent="0.3">
      <c r="A618" s="1">
        <v>45032.748472222222</v>
      </c>
      <c r="B618" s="1">
        <v>45032.768703703703</v>
      </c>
      <c r="C618">
        <v>28.02</v>
      </c>
      <c r="D618" s="2">
        <v>1.9456018518518518E-2</v>
      </c>
      <c r="E618">
        <v>6.0620000000000003</v>
      </c>
      <c r="F618" s="2">
        <v>3.2060185185185191E-3</v>
      </c>
      <c r="G618">
        <v>12.98</v>
      </c>
      <c r="H618">
        <v>15.42</v>
      </c>
      <c r="I618">
        <v>162</v>
      </c>
      <c r="J618">
        <v>141</v>
      </c>
      <c r="K618">
        <v>416</v>
      </c>
      <c r="L618" s="2">
        <v>2.8240740740740739E-3</v>
      </c>
      <c r="M618" s="2">
        <v>1.5752314814814813E-2</v>
      </c>
      <c r="N618" s="2">
        <v>0</v>
      </c>
      <c r="O618" s="2">
        <v>0</v>
      </c>
      <c r="P618" s="2">
        <v>0</v>
      </c>
    </row>
    <row r="619" spans="1:16" x14ac:dyDescent="0.3">
      <c r="A619" s="1">
        <v>45034.875243055554</v>
      </c>
      <c r="B619" s="1">
        <v>45034.918356481481</v>
      </c>
      <c r="C619">
        <v>62.08</v>
      </c>
      <c r="D619" s="2">
        <v>4.311342592592593E-2</v>
      </c>
      <c r="E619">
        <v>13.25</v>
      </c>
      <c r="F619" s="2">
        <v>3.2523148148148151E-3</v>
      </c>
      <c r="G619">
        <v>12.81</v>
      </c>
      <c r="H619">
        <v>17.47</v>
      </c>
      <c r="I619">
        <v>167</v>
      </c>
      <c r="J619">
        <v>143</v>
      </c>
      <c r="K619">
        <v>932</v>
      </c>
      <c r="L619" s="2">
        <v>2.6504629629629625E-3</v>
      </c>
      <c r="M619" s="2">
        <v>1.4560185185185183E-2</v>
      </c>
      <c r="N619" s="2">
        <v>3.1307870370370368E-2</v>
      </c>
      <c r="O619" s="2">
        <v>0</v>
      </c>
      <c r="P619" s="2">
        <v>0</v>
      </c>
    </row>
    <row r="620" spans="1:16" x14ac:dyDescent="0.3">
      <c r="A620" s="1">
        <v>45036.816574074073</v>
      </c>
      <c r="B620" s="1">
        <v>45036.838750000003</v>
      </c>
      <c r="C620">
        <v>27.75</v>
      </c>
      <c r="D620" s="2">
        <v>1.9270833333333334E-2</v>
      </c>
      <c r="E620">
        <v>7.1429999999999998</v>
      </c>
      <c r="F620" s="2">
        <v>2.6967592592592594E-3</v>
      </c>
      <c r="G620">
        <v>15.44</v>
      </c>
      <c r="H620">
        <v>19.11</v>
      </c>
      <c r="I620">
        <v>184</v>
      </c>
      <c r="J620">
        <v>158</v>
      </c>
      <c r="K620">
        <v>485</v>
      </c>
      <c r="L620" s="2">
        <v>2.5115740740740741E-3</v>
      </c>
      <c r="M620" s="2">
        <v>1.3368055555555557E-2</v>
      </c>
      <c r="N620" s="2">
        <v>0</v>
      </c>
      <c r="O620" s="2">
        <v>0</v>
      </c>
      <c r="P620" s="2">
        <v>0</v>
      </c>
    </row>
    <row r="621" spans="1:16" x14ac:dyDescent="0.3">
      <c r="A621" s="1">
        <v>45037.702800925923</v>
      </c>
      <c r="B621" s="1">
        <v>45037.711909722224</v>
      </c>
      <c r="C621">
        <v>11.85</v>
      </c>
      <c r="D621" s="2">
        <v>8.217592592592594E-3</v>
      </c>
      <c r="E621">
        <v>2.0350000000000001</v>
      </c>
      <c r="F621" s="2">
        <v>4.0393518518518521E-3</v>
      </c>
      <c r="G621">
        <v>10.3</v>
      </c>
      <c r="H621">
        <v>12.97</v>
      </c>
      <c r="I621">
        <v>141</v>
      </c>
      <c r="J621">
        <v>126</v>
      </c>
      <c r="K621">
        <v>140</v>
      </c>
      <c r="L621" s="2">
        <v>3.8888888888888883E-3</v>
      </c>
      <c r="M621" s="2">
        <v>0</v>
      </c>
      <c r="N621" s="2">
        <v>0</v>
      </c>
      <c r="O621" s="2">
        <v>0</v>
      </c>
      <c r="P621" s="2">
        <v>0</v>
      </c>
    </row>
    <row r="622" spans="1:16" x14ac:dyDescent="0.3">
      <c r="A622" s="1">
        <v>45037.714525462965</v>
      </c>
      <c r="B622" s="1">
        <v>45037.742905092593</v>
      </c>
      <c r="C622">
        <v>39.1</v>
      </c>
      <c r="D622" s="2">
        <v>2.7152777777777779E-2</v>
      </c>
      <c r="E622">
        <v>8.0950000000000006</v>
      </c>
      <c r="F622" s="2">
        <v>3.3449074074074071E-3</v>
      </c>
      <c r="G622">
        <v>12.42</v>
      </c>
      <c r="H622">
        <v>13.77</v>
      </c>
      <c r="I622">
        <v>148</v>
      </c>
      <c r="J622">
        <v>134</v>
      </c>
      <c r="K622">
        <v>568</v>
      </c>
      <c r="L622" s="2">
        <v>3.2638888888888891E-3</v>
      </c>
      <c r="M622" s="2">
        <v>1.6655092592592593E-2</v>
      </c>
      <c r="N622" s="2">
        <v>0</v>
      </c>
      <c r="O622" s="2">
        <v>0</v>
      </c>
      <c r="P622" s="2">
        <v>0</v>
      </c>
    </row>
    <row r="623" spans="1:16" x14ac:dyDescent="0.3">
      <c r="A623" s="1">
        <v>45038.878020833334</v>
      </c>
      <c r="B623" s="1">
        <v>45038.887789351851</v>
      </c>
      <c r="C623">
        <v>13.55</v>
      </c>
      <c r="D623" s="2">
        <v>9.3981481481481485E-3</v>
      </c>
      <c r="E623">
        <v>2.1520000000000001</v>
      </c>
      <c r="F623" s="2">
        <v>4.363425925925926E-3</v>
      </c>
      <c r="G623">
        <v>9.5299999999999994</v>
      </c>
      <c r="H623">
        <v>11.05</v>
      </c>
      <c r="I623">
        <v>128</v>
      </c>
      <c r="J623">
        <v>117</v>
      </c>
      <c r="K623">
        <v>153</v>
      </c>
      <c r="L623" s="2">
        <v>4.2013888888888891E-3</v>
      </c>
      <c r="M623" s="2">
        <v>0</v>
      </c>
      <c r="N623" s="2">
        <v>0</v>
      </c>
      <c r="O623" s="2">
        <v>0</v>
      </c>
      <c r="P623" s="2">
        <v>0</v>
      </c>
    </row>
    <row r="624" spans="1:16" x14ac:dyDescent="0.3">
      <c r="A624" s="1">
        <v>45038.889930555553</v>
      </c>
      <c r="B624" s="1">
        <v>45038.93440972222</v>
      </c>
      <c r="C624">
        <v>64.05</v>
      </c>
      <c r="D624" s="2">
        <v>4.4467592592592593E-2</v>
      </c>
      <c r="E624">
        <v>13.028</v>
      </c>
      <c r="F624" s="2">
        <v>3.4027777777777784E-3</v>
      </c>
      <c r="G624">
        <v>12.2</v>
      </c>
      <c r="H624">
        <v>14.31</v>
      </c>
      <c r="I624">
        <v>159</v>
      </c>
      <c r="J624">
        <v>139</v>
      </c>
      <c r="K624">
        <v>906</v>
      </c>
      <c r="L624" s="2">
        <v>2.9745370370370373E-3</v>
      </c>
      <c r="M624" s="2">
        <v>1.636574074074074E-2</v>
      </c>
      <c r="N624" s="2">
        <v>3.4074074074074076E-2</v>
      </c>
      <c r="O624" s="2">
        <v>0</v>
      </c>
      <c r="P624" s="2">
        <v>0</v>
      </c>
    </row>
    <row r="625" spans="1:16" x14ac:dyDescent="0.3">
      <c r="A625" s="1">
        <v>45039.748981481483</v>
      </c>
      <c r="B625" s="1">
        <v>45039.769814814812</v>
      </c>
      <c r="C625">
        <v>28.83</v>
      </c>
      <c r="D625" s="2">
        <v>2.0011574074074074E-2</v>
      </c>
      <c r="E625">
        <v>6.2030000000000003</v>
      </c>
      <c r="F625" s="2">
        <v>3.2175925925925926E-3</v>
      </c>
      <c r="G625">
        <v>12.91</v>
      </c>
      <c r="H625">
        <v>15.79</v>
      </c>
      <c r="I625">
        <v>158</v>
      </c>
      <c r="J625">
        <v>140</v>
      </c>
      <c r="K625">
        <v>439</v>
      </c>
      <c r="L625" s="2">
        <v>2.7546296296296294E-3</v>
      </c>
      <c r="M625" s="2">
        <v>1.5763888888888886E-2</v>
      </c>
      <c r="N625" s="2">
        <v>0</v>
      </c>
      <c r="O625" s="2">
        <v>0</v>
      </c>
      <c r="P625" s="2">
        <v>0</v>
      </c>
    </row>
    <row r="626" spans="1:16" x14ac:dyDescent="0.3">
      <c r="A626" s="1">
        <v>45040.71297453704</v>
      </c>
      <c r="B626" s="1">
        <v>45040.749988425923</v>
      </c>
      <c r="C626">
        <v>50.55</v>
      </c>
      <c r="D626" s="2">
        <v>3.5092592592592592E-2</v>
      </c>
      <c r="E626">
        <v>11.054</v>
      </c>
      <c r="F626" s="2">
        <v>3.1712962962962958E-3</v>
      </c>
      <c r="G626">
        <v>13.12</v>
      </c>
      <c r="H626">
        <v>18.510000000000002</v>
      </c>
      <c r="I626">
        <v>171</v>
      </c>
      <c r="J626">
        <v>143</v>
      </c>
      <c r="K626">
        <v>751</v>
      </c>
      <c r="L626" s="2">
        <v>2.6967592592592594E-3</v>
      </c>
      <c r="M626" s="2">
        <v>1.4872685185185185E-2</v>
      </c>
      <c r="N626" s="2">
        <v>3.107638888888889E-2</v>
      </c>
      <c r="O626" s="2">
        <v>0</v>
      </c>
      <c r="P626" s="2">
        <v>0</v>
      </c>
    </row>
    <row r="627" spans="1:16" x14ac:dyDescent="0.3">
      <c r="A627" s="1">
        <v>45041.682824074072</v>
      </c>
      <c r="B627" s="1">
        <v>45041.693206018521</v>
      </c>
      <c r="C627">
        <v>14.95</v>
      </c>
      <c r="D627" s="2">
        <v>1.037037037037037E-2</v>
      </c>
      <c r="E627">
        <v>2.5219999999999998</v>
      </c>
      <c r="F627" s="2">
        <v>4.108796296296297E-3</v>
      </c>
      <c r="G627">
        <v>10.119999999999999</v>
      </c>
      <c r="H627">
        <v>13.71</v>
      </c>
      <c r="I627">
        <v>148</v>
      </c>
      <c r="J627">
        <v>131</v>
      </c>
      <c r="K627">
        <v>196</v>
      </c>
      <c r="L627" s="2">
        <v>4.0856481481481481E-3</v>
      </c>
      <c r="M627" s="2">
        <v>0</v>
      </c>
      <c r="N627" s="2">
        <v>0</v>
      </c>
      <c r="O627" s="2">
        <v>0</v>
      </c>
      <c r="P627" s="2">
        <v>0</v>
      </c>
    </row>
    <row r="628" spans="1:16" x14ac:dyDescent="0.3">
      <c r="A628" s="1">
        <v>45041.694861111115</v>
      </c>
      <c r="B628" s="1">
        <v>45041.712754629632</v>
      </c>
      <c r="C628">
        <v>25.77</v>
      </c>
      <c r="D628" s="2">
        <v>1.7881944444444443E-2</v>
      </c>
      <c r="E628">
        <v>5.2030000000000003</v>
      </c>
      <c r="F628" s="2">
        <v>3.4375E-3</v>
      </c>
      <c r="G628">
        <v>12.12</v>
      </c>
      <c r="H628">
        <v>14.21</v>
      </c>
      <c r="I628">
        <v>156</v>
      </c>
      <c r="J628">
        <v>144</v>
      </c>
      <c r="K628">
        <v>381</v>
      </c>
      <c r="L628" s="2">
        <v>3.2870370370370367E-3</v>
      </c>
      <c r="M628" s="2">
        <v>1.7187499999999998E-2</v>
      </c>
      <c r="N628" s="2">
        <v>0</v>
      </c>
      <c r="O628" s="2">
        <v>0</v>
      </c>
      <c r="P628" s="2">
        <v>0</v>
      </c>
    </row>
    <row r="629" spans="1:16" x14ac:dyDescent="0.3">
      <c r="A629" s="1">
        <v>45043.97761574074</v>
      </c>
      <c r="B629" s="1">
        <v>45044.019282407404</v>
      </c>
      <c r="C629">
        <v>59.73</v>
      </c>
      <c r="D629" s="2">
        <v>4.148148148148148E-2</v>
      </c>
      <c r="E629">
        <v>13.135</v>
      </c>
      <c r="F629" s="2">
        <v>3.1481481481481482E-3</v>
      </c>
      <c r="G629">
        <v>13.19</v>
      </c>
      <c r="H629">
        <v>15.38</v>
      </c>
      <c r="I629">
        <v>171</v>
      </c>
      <c r="J629">
        <v>150</v>
      </c>
      <c r="K629">
        <v>929</v>
      </c>
      <c r="L629" s="2">
        <v>2.9745370370370373E-3</v>
      </c>
      <c r="M629" s="2">
        <v>1.525462962962963E-2</v>
      </c>
      <c r="N629" s="2">
        <v>3.0891203703703702E-2</v>
      </c>
      <c r="O629" s="2">
        <v>0</v>
      </c>
      <c r="P629" s="2">
        <v>0</v>
      </c>
    </row>
    <row r="630" spans="1:16" x14ac:dyDescent="0.3">
      <c r="A630" s="1">
        <v>45044.74114583333</v>
      </c>
      <c r="B630" s="1">
        <v>45044.752743055556</v>
      </c>
      <c r="C630">
        <v>16.7</v>
      </c>
      <c r="D630" s="2">
        <v>1.1585648148148149E-2</v>
      </c>
      <c r="E630">
        <v>2.6030000000000002</v>
      </c>
      <c r="F630" s="2">
        <v>4.4444444444444444E-3</v>
      </c>
      <c r="G630">
        <v>9.35</v>
      </c>
      <c r="H630">
        <v>12.29</v>
      </c>
      <c r="I630">
        <v>136</v>
      </c>
      <c r="J630">
        <v>122</v>
      </c>
      <c r="K630">
        <v>192</v>
      </c>
      <c r="L630" s="2">
        <v>4.363425925925926E-3</v>
      </c>
      <c r="M630" s="2">
        <v>0</v>
      </c>
      <c r="N630" s="2">
        <v>0</v>
      </c>
      <c r="O630" s="2">
        <v>0</v>
      </c>
      <c r="P630" s="2">
        <v>0</v>
      </c>
    </row>
    <row r="631" spans="1:16" x14ac:dyDescent="0.3">
      <c r="A631" s="1">
        <v>45045.95685185185</v>
      </c>
      <c r="B631" s="1">
        <v>45045.993310185186</v>
      </c>
      <c r="C631">
        <v>52.5</v>
      </c>
      <c r="D631" s="2">
        <v>3.6458333333333336E-2</v>
      </c>
      <c r="E631">
        <v>10.048</v>
      </c>
      <c r="F631" s="2">
        <v>3.6226851851851854E-3</v>
      </c>
      <c r="G631">
        <v>11.48</v>
      </c>
      <c r="H631">
        <v>12.87</v>
      </c>
      <c r="I631">
        <v>156</v>
      </c>
      <c r="J631">
        <v>137</v>
      </c>
      <c r="K631">
        <v>730</v>
      </c>
      <c r="L631" s="2">
        <v>3.5185185185185185E-3</v>
      </c>
      <c r="M631" s="2">
        <v>1.7997685185185186E-2</v>
      </c>
      <c r="N631" s="2">
        <v>3.6307870370370372E-2</v>
      </c>
      <c r="O631" s="2">
        <v>0</v>
      </c>
      <c r="P631" s="2">
        <v>0</v>
      </c>
    </row>
    <row r="632" spans="1:16" x14ac:dyDescent="0.3">
      <c r="A632" s="1">
        <v>45047.712847222225</v>
      </c>
      <c r="B632" s="1">
        <v>45047.758449074077</v>
      </c>
      <c r="C632">
        <v>60.02</v>
      </c>
      <c r="D632" s="2">
        <v>4.1666666666666664E-2</v>
      </c>
      <c r="E632">
        <v>12.112</v>
      </c>
      <c r="F632" s="2">
        <v>3.4375E-3</v>
      </c>
      <c r="G632">
        <v>12.11</v>
      </c>
      <c r="H632">
        <v>19.989999999999998</v>
      </c>
      <c r="I632">
        <v>180</v>
      </c>
      <c r="J632">
        <v>141</v>
      </c>
      <c r="K632">
        <v>857</v>
      </c>
      <c r="L632" s="2">
        <v>3.2060185185185191E-3</v>
      </c>
      <c r="M632" s="2">
        <v>1.6562500000000001E-2</v>
      </c>
      <c r="N632" s="2">
        <v>3.3414351851851855E-2</v>
      </c>
      <c r="O632" s="2">
        <v>0</v>
      </c>
      <c r="P632" s="2">
        <v>0</v>
      </c>
    </row>
    <row r="633" spans="1:16" x14ac:dyDescent="0.3">
      <c r="A633" s="1">
        <v>45049.727476851855</v>
      </c>
      <c r="B633" s="1">
        <v>45049.768611111111</v>
      </c>
      <c r="C633">
        <v>59.23</v>
      </c>
      <c r="D633" s="2">
        <v>4.1134259259259259E-2</v>
      </c>
      <c r="E633">
        <v>12.02</v>
      </c>
      <c r="F633" s="2">
        <v>3.414351851851852E-3</v>
      </c>
      <c r="G633">
        <v>12.18</v>
      </c>
      <c r="H633">
        <v>15.48</v>
      </c>
      <c r="I633">
        <v>176</v>
      </c>
      <c r="J633">
        <v>150</v>
      </c>
      <c r="K633">
        <v>880</v>
      </c>
      <c r="L633" s="2">
        <v>2.8356481481481479E-3</v>
      </c>
      <c r="M633" s="2">
        <v>1.6122685185185184E-2</v>
      </c>
      <c r="N633" s="2">
        <v>3.4027777777777775E-2</v>
      </c>
      <c r="O633" s="2">
        <v>0</v>
      </c>
      <c r="P633" s="2">
        <v>0</v>
      </c>
    </row>
    <row r="634" spans="1:16" x14ac:dyDescent="0.3">
      <c r="A634" s="1">
        <v>45051.32435185185</v>
      </c>
      <c r="B634" s="1">
        <v>45051.347905092596</v>
      </c>
      <c r="C634">
        <v>33.92</v>
      </c>
      <c r="D634" s="2">
        <v>2.3541666666666666E-2</v>
      </c>
      <c r="E634">
        <v>8.6820000000000004</v>
      </c>
      <c r="F634" s="2">
        <v>2.7083333333333334E-3</v>
      </c>
      <c r="G634">
        <v>15.36</v>
      </c>
      <c r="H634">
        <v>18.78</v>
      </c>
      <c r="I634">
        <v>179</v>
      </c>
      <c r="J634">
        <v>171</v>
      </c>
      <c r="K634">
        <v>605</v>
      </c>
      <c r="L634" s="2">
        <v>2.5115740740740741E-3</v>
      </c>
      <c r="M634" s="2">
        <v>1.3287037037037036E-2</v>
      </c>
      <c r="N634" s="2">
        <v>0</v>
      </c>
      <c r="O634" s="2">
        <v>0</v>
      </c>
      <c r="P634" s="2">
        <v>0</v>
      </c>
    </row>
    <row r="635" spans="1:16" x14ac:dyDescent="0.3">
      <c r="A635" s="1">
        <v>45052.90042824074</v>
      </c>
      <c r="B635" s="1">
        <v>45052.910115740742</v>
      </c>
      <c r="C635">
        <v>13.95</v>
      </c>
      <c r="D635" s="2">
        <v>9.6874999999999999E-3</v>
      </c>
      <c r="E635">
        <v>2.218</v>
      </c>
      <c r="F635" s="2">
        <v>4.363425925925926E-3</v>
      </c>
      <c r="G635">
        <v>9.5399999999999991</v>
      </c>
      <c r="H635">
        <v>12.73</v>
      </c>
      <c r="I635">
        <v>143</v>
      </c>
      <c r="J635">
        <v>125</v>
      </c>
      <c r="K635">
        <v>166</v>
      </c>
      <c r="L635" s="2">
        <v>4.340277777777778E-3</v>
      </c>
      <c r="M635" s="2">
        <v>0</v>
      </c>
      <c r="N635" s="2">
        <v>0</v>
      </c>
      <c r="O635" s="2">
        <v>0</v>
      </c>
      <c r="P635" s="2">
        <v>0</v>
      </c>
    </row>
    <row r="636" spans="1:16" x14ac:dyDescent="0.3">
      <c r="A636" s="1">
        <v>45052.913993055554</v>
      </c>
      <c r="B636" s="1">
        <v>45052.945497685185</v>
      </c>
      <c r="C636">
        <v>45.37</v>
      </c>
      <c r="D636" s="2">
        <v>3.1504629629629625E-2</v>
      </c>
      <c r="E636">
        <v>8.02</v>
      </c>
      <c r="F636" s="2">
        <v>3.9236111111111112E-3</v>
      </c>
      <c r="G636">
        <v>10.61</v>
      </c>
      <c r="H636">
        <v>12.77</v>
      </c>
      <c r="I636">
        <v>146</v>
      </c>
      <c r="J636">
        <v>131</v>
      </c>
      <c r="K636">
        <v>573</v>
      </c>
      <c r="L636" s="2">
        <v>3.7962962962962963E-3</v>
      </c>
      <c r="M636" s="2">
        <v>1.9375E-2</v>
      </c>
      <c r="N636" s="2">
        <v>0</v>
      </c>
      <c r="O636" s="2">
        <v>0</v>
      </c>
      <c r="P636" s="2">
        <v>0</v>
      </c>
    </row>
    <row r="637" spans="1:16" x14ac:dyDescent="0.3">
      <c r="A637" s="1">
        <v>45054.713113425925</v>
      </c>
      <c r="B637" s="1">
        <v>45054.749305555553</v>
      </c>
      <c r="C637">
        <v>49.33</v>
      </c>
      <c r="D637" s="2">
        <v>3.425925925925926E-2</v>
      </c>
      <c r="E637">
        <v>10.430999999999999</v>
      </c>
      <c r="F637" s="2">
        <v>3.2754629629629631E-3</v>
      </c>
      <c r="G637">
        <v>12.69</v>
      </c>
      <c r="H637">
        <v>19.079999999999998</v>
      </c>
      <c r="I637">
        <v>153</v>
      </c>
      <c r="J637">
        <v>134</v>
      </c>
      <c r="K637">
        <v>717</v>
      </c>
      <c r="L637" s="2">
        <v>2.5462962962962961E-3</v>
      </c>
      <c r="M637" s="2">
        <v>1.4722222222222222E-2</v>
      </c>
      <c r="N637" s="2">
        <v>3.2361111111111111E-2</v>
      </c>
      <c r="O637" s="2">
        <v>0</v>
      </c>
      <c r="P637" s="2">
        <v>0</v>
      </c>
    </row>
    <row r="638" spans="1:16" x14ac:dyDescent="0.3">
      <c r="A638" s="1">
        <v>45055.855891203704</v>
      </c>
      <c r="B638" s="1">
        <v>45055.866157407407</v>
      </c>
      <c r="C638">
        <v>14.79</v>
      </c>
      <c r="D638" s="2">
        <v>1.0266203703703703E-2</v>
      </c>
      <c r="E638">
        <v>2.5529999999999999</v>
      </c>
      <c r="F638" s="2">
        <v>4.0162037037037033E-3</v>
      </c>
      <c r="G638">
        <v>10.35</v>
      </c>
      <c r="H638">
        <v>11.69</v>
      </c>
      <c r="I638">
        <v>133</v>
      </c>
      <c r="J638">
        <v>121</v>
      </c>
      <c r="K638">
        <v>179</v>
      </c>
      <c r="L638" s="2">
        <v>3.9120370370370368E-3</v>
      </c>
      <c r="M638" s="2">
        <v>0</v>
      </c>
      <c r="N638" s="2">
        <v>0</v>
      </c>
      <c r="O638" s="2">
        <v>0</v>
      </c>
      <c r="P638" s="2">
        <v>0</v>
      </c>
    </row>
    <row r="639" spans="1:16" x14ac:dyDescent="0.3">
      <c r="A639" s="1">
        <v>45057.966145833336</v>
      </c>
      <c r="B639" s="1">
        <v>45058.004027777781</v>
      </c>
      <c r="C639">
        <v>54.55</v>
      </c>
      <c r="D639" s="2">
        <v>3.7870370370370367E-2</v>
      </c>
      <c r="E639">
        <v>10.103</v>
      </c>
      <c r="F639" s="2">
        <v>3.7384259259259263E-3</v>
      </c>
      <c r="G639">
        <v>11.11</v>
      </c>
      <c r="H639">
        <v>12.97</v>
      </c>
      <c r="I639">
        <v>155</v>
      </c>
      <c r="J639">
        <v>144</v>
      </c>
      <c r="K639">
        <v>757</v>
      </c>
      <c r="L639" s="2">
        <v>3.5532407407407405E-3</v>
      </c>
      <c r="M639" s="2">
        <v>1.8298611111111113E-2</v>
      </c>
      <c r="N639" s="2">
        <v>3.7476851851851851E-2</v>
      </c>
      <c r="O639" s="2">
        <v>0</v>
      </c>
      <c r="P639" s="2">
        <v>0</v>
      </c>
    </row>
    <row r="640" spans="1:16" x14ac:dyDescent="0.3">
      <c r="A640" s="1">
        <v>45060.708969907406</v>
      </c>
      <c r="B640" s="1">
        <v>45060.745092592595</v>
      </c>
      <c r="C640">
        <v>52.02</v>
      </c>
      <c r="D640" s="2">
        <v>3.6111111111111115E-2</v>
      </c>
      <c r="E640">
        <v>10.053000000000001</v>
      </c>
      <c r="F640" s="2">
        <v>3.5879629629629629E-3</v>
      </c>
      <c r="G640">
        <v>11.6</v>
      </c>
      <c r="H640">
        <v>13.33</v>
      </c>
      <c r="I640">
        <v>170</v>
      </c>
      <c r="J640">
        <v>144</v>
      </c>
      <c r="K640">
        <v>726</v>
      </c>
      <c r="L640" s="2">
        <v>3.3101851851851851E-3</v>
      </c>
      <c r="M640" s="2">
        <v>1.7141203703703704E-2</v>
      </c>
      <c r="N640" s="2">
        <v>3.5925925925925924E-2</v>
      </c>
      <c r="O640" s="2">
        <v>0</v>
      </c>
      <c r="P640" s="2">
        <v>0</v>
      </c>
    </row>
    <row r="641" spans="1:16" x14ac:dyDescent="0.3">
      <c r="A641" s="1">
        <v>45061.74181712963</v>
      </c>
      <c r="B641" s="1">
        <v>45061.77920138889</v>
      </c>
      <c r="C641">
        <v>49.82</v>
      </c>
      <c r="D641" s="2">
        <v>3.4594907407407408E-2</v>
      </c>
      <c r="E641">
        <v>10.016</v>
      </c>
      <c r="F641" s="2">
        <v>3.4490740740740745E-3</v>
      </c>
      <c r="G641">
        <v>12.06</v>
      </c>
      <c r="H641">
        <v>17.16</v>
      </c>
      <c r="I641">
        <v>164</v>
      </c>
      <c r="J641">
        <v>139</v>
      </c>
      <c r="K641">
        <v>688</v>
      </c>
      <c r="L641" s="2">
        <v>2.7893518518518519E-3</v>
      </c>
      <c r="M641" s="2">
        <v>1.577546296296296E-2</v>
      </c>
      <c r="N641" s="2">
        <v>3.4571759259259253E-2</v>
      </c>
      <c r="O641" s="2">
        <v>0</v>
      </c>
      <c r="P641" s="2">
        <v>0</v>
      </c>
    </row>
    <row r="642" spans="1:16" x14ac:dyDescent="0.3">
      <c r="A642" s="1">
        <v>45063.88380787037</v>
      </c>
      <c r="B642" s="1">
        <v>45063.913136574076</v>
      </c>
      <c r="C642">
        <v>42.23</v>
      </c>
      <c r="D642" s="2">
        <v>2.9328703703703704E-2</v>
      </c>
      <c r="E642">
        <v>8.0820000000000007</v>
      </c>
      <c r="F642" s="2">
        <v>3.6226851851851854E-3</v>
      </c>
      <c r="G642">
        <v>11.48</v>
      </c>
      <c r="H642">
        <v>14.11</v>
      </c>
      <c r="I642">
        <v>174</v>
      </c>
      <c r="J642">
        <v>156</v>
      </c>
      <c r="K642">
        <v>609</v>
      </c>
      <c r="L642" s="2">
        <v>3.4375E-3</v>
      </c>
      <c r="M642" s="2">
        <v>1.7928240740740741E-2</v>
      </c>
      <c r="N642" s="2">
        <v>0</v>
      </c>
      <c r="O642" s="2">
        <v>0</v>
      </c>
      <c r="P642" s="2">
        <v>0</v>
      </c>
    </row>
    <row r="643" spans="1:16" x14ac:dyDescent="0.3">
      <c r="A643" s="1">
        <v>45065.684884259259</v>
      </c>
      <c r="B643" s="1">
        <v>45065.695729166669</v>
      </c>
      <c r="C643">
        <v>15.62</v>
      </c>
      <c r="D643" s="2">
        <v>1.0844907407407407E-2</v>
      </c>
      <c r="E643">
        <v>2.6019999999999999</v>
      </c>
      <c r="F643" s="2">
        <v>4.1666666666666666E-3</v>
      </c>
      <c r="G643">
        <v>9.99</v>
      </c>
      <c r="H643">
        <v>13.2</v>
      </c>
      <c r="I643">
        <v>137</v>
      </c>
      <c r="J643">
        <v>124</v>
      </c>
      <c r="K643">
        <v>190</v>
      </c>
      <c r="L643" s="2">
        <v>3.8888888888888883E-3</v>
      </c>
      <c r="M643" s="2">
        <v>0</v>
      </c>
      <c r="N643" s="2">
        <v>0</v>
      </c>
      <c r="O643" s="2">
        <v>0</v>
      </c>
      <c r="P643" s="2">
        <v>0</v>
      </c>
    </row>
    <row r="644" spans="1:16" x14ac:dyDescent="0.3">
      <c r="A644" s="1">
        <v>45065.698854166665</v>
      </c>
      <c r="B644" s="1">
        <v>45065.734386574077</v>
      </c>
      <c r="C644">
        <v>50</v>
      </c>
      <c r="D644" s="2">
        <v>3.4722222222222224E-2</v>
      </c>
      <c r="E644">
        <v>10.143000000000001</v>
      </c>
      <c r="F644" s="2">
        <v>3.414351851851852E-3</v>
      </c>
      <c r="G644">
        <v>12.17</v>
      </c>
      <c r="H644">
        <v>15.58</v>
      </c>
      <c r="I644">
        <v>168</v>
      </c>
      <c r="J644">
        <v>144</v>
      </c>
      <c r="K644">
        <v>724</v>
      </c>
      <c r="L644" s="2">
        <v>2.9166666666666668E-3</v>
      </c>
      <c r="M644" s="2">
        <v>1.650462962962963E-2</v>
      </c>
      <c r="N644" s="2">
        <v>3.4247685185185187E-2</v>
      </c>
      <c r="O644" s="2">
        <v>0</v>
      </c>
      <c r="P644" s="2">
        <v>0</v>
      </c>
    </row>
    <row r="645" spans="1:16" x14ac:dyDescent="0.3">
      <c r="A645" s="1">
        <v>45066.920902777776</v>
      </c>
      <c r="B645" s="1">
        <v>45066.958726851852</v>
      </c>
      <c r="C645">
        <v>54.3</v>
      </c>
      <c r="D645" s="2">
        <v>3.7696759259259256E-2</v>
      </c>
      <c r="E645">
        <v>10.031000000000001</v>
      </c>
      <c r="F645" s="2">
        <v>3.7500000000000003E-3</v>
      </c>
      <c r="G645">
        <v>11.08</v>
      </c>
      <c r="H645">
        <v>13.23</v>
      </c>
      <c r="I645">
        <v>153</v>
      </c>
      <c r="J645">
        <v>137</v>
      </c>
      <c r="K645">
        <v>728</v>
      </c>
      <c r="L645" s="2">
        <v>3.5879629629629629E-3</v>
      </c>
      <c r="M645" s="2">
        <v>1.8657407407407407E-2</v>
      </c>
      <c r="N645" s="2">
        <v>3.7604166666666668E-2</v>
      </c>
      <c r="O645" s="2">
        <v>0</v>
      </c>
      <c r="P645" s="2">
        <v>0</v>
      </c>
    </row>
    <row r="646" spans="1:16" x14ac:dyDescent="0.3">
      <c r="A646" s="1">
        <v>45068.743148148147</v>
      </c>
      <c r="B646" s="1">
        <v>45068.77925925926</v>
      </c>
      <c r="C646">
        <v>48.75</v>
      </c>
      <c r="D646" s="2">
        <v>3.3854166666666664E-2</v>
      </c>
      <c r="E646">
        <v>10.037000000000001</v>
      </c>
      <c r="F646" s="2">
        <v>3.3680555555555551E-3</v>
      </c>
      <c r="G646">
        <v>12.35</v>
      </c>
      <c r="H646">
        <v>13.87</v>
      </c>
      <c r="I646">
        <v>159</v>
      </c>
      <c r="J646">
        <v>142</v>
      </c>
      <c r="K646">
        <v>702</v>
      </c>
      <c r="L646" s="2">
        <v>3.1134259259259257E-3</v>
      </c>
      <c r="M646" s="2">
        <v>1.6469907407407405E-2</v>
      </c>
      <c r="N646" s="2">
        <v>3.3738425925925929E-2</v>
      </c>
      <c r="O646" s="2">
        <v>0</v>
      </c>
      <c r="P646" s="2">
        <v>0</v>
      </c>
    </row>
    <row r="647" spans="1:16" x14ac:dyDescent="0.3">
      <c r="A647" s="1">
        <v>45069.858657407407</v>
      </c>
      <c r="B647" s="1">
        <v>45069.867881944447</v>
      </c>
      <c r="C647">
        <v>13.28</v>
      </c>
      <c r="D647" s="2">
        <v>9.2129629629629627E-3</v>
      </c>
      <c r="E647">
        <v>2.2490000000000001</v>
      </c>
      <c r="F647" s="2">
        <v>4.0972222222222226E-3</v>
      </c>
      <c r="G647">
        <v>10.16</v>
      </c>
      <c r="H647">
        <v>12.43</v>
      </c>
      <c r="I647">
        <v>141</v>
      </c>
      <c r="J647">
        <v>127</v>
      </c>
      <c r="K647">
        <v>165</v>
      </c>
      <c r="L647" s="2">
        <v>4.0624999999999993E-3</v>
      </c>
      <c r="M647" s="2">
        <v>0</v>
      </c>
      <c r="N647" s="2">
        <v>0</v>
      </c>
      <c r="O647" s="2">
        <v>0</v>
      </c>
      <c r="P647" s="2">
        <v>0</v>
      </c>
    </row>
    <row r="648" spans="1:16" x14ac:dyDescent="0.3">
      <c r="A648" s="1">
        <v>45069.870567129627</v>
      </c>
      <c r="B648" s="1">
        <v>45069.888796296298</v>
      </c>
      <c r="C648">
        <v>26.25</v>
      </c>
      <c r="D648" s="2">
        <v>1.8229166666666668E-2</v>
      </c>
      <c r="E648">
        <v>5.1029999999999998</v>
      </c>
      <c r="F648" s="2">
        <v>3.5648148148148154E-3</v>
      </c>
      <c r="G648">
        <v>11.66</v>
      </c>
      <c r="H648">
        <v>13</v>
      </c>
      <c r="I648">
        <v>153</v>
      </c>
      <c r="J648">
        <v>137</v>
      </c>
      <c r="K648">
        <v>366</v>
      </c>
      <c r="L648" s="2">
        <v>3.4027777777777784E-3</v>
      </c>
      <c r="M648" s="2">
        <v>1.7858796296296296E-2</v>
      </c>
      <c r="N648" s="2">
        <v>0</v>
      </c>
      <c r="O648" s="2">
        <v>0</v>
      </c>
      <c r="P648" s="2">
        <v>0</v>
      </c>
    </row>
    <row r="649" spans="1:16" x14ac:dyDescent="0.3">
      <c r="A649" s="1">
        <v>45071.714421296296</v>
      </c>
      <c r="B649" s="1">
        <v>45071.72446759259</v>
      </c>
      <c r="C649">
        <v>14.47</v>
      </c>
      <c r="D649" s="2">
        <v>1.0046296296296296E-2</v>
      </c>
      <c r="E649">
        <v>2.629</v>
      </c>
      <c r="F649" s="2">
        <v>3.8194444444444443E-3</v>
      </c>
      <c r="G649">
        <v>10.9</v>
      </c>
      <c r="H649">
        <v>13.91</v>
      </c>
      <c r="I649">
        <v>150</v>
      </c>
      <c r="J649">
        <v>138</v>
      </c>
      <c r="K649">
        <v>200</v>
      </c>
      <c r="L649" s="2">
        <v>3.5995370370370369E-3</v>
      </c>
      <c r="M649" s="2">
        <v>0</v>
      </c>
      <c r="N649" s="2">
        <v>0</v>
      </c>
      <c r="O649" s="2">
        <v>0</v>
      </c>
      <c r="P649" s="2">
        <v>0</v>
      </c>
    </row>
    <row r="650" spans="1:16" x14ac:dyDescent="0.3">
      <c r="A650" s="1">
        <v>45071.726898148147</v>
      </c>
      <c r="B650" s="1">
        <v>45071.745393518519</v>
      </c>
      <c r="C650">
        <v>26.63</v>
      </c>
      <c r="D650" s="2">
        <v>1.8483796296296297E-2</v>
      </c>
      <c r="E650">
        <v>5.5540000000000003</v>
      </c>
      <c r="F650" s="2">
        <v>3.3217592592592591E-3</v>
      </c>
      <c r="G650">
        <v>12.51</v>
      </c>
      <c r="H650">
        <v>14.41</v>
      </c>
      <c r="I650">
        <v>159</v>
      </c>
      <c r="J650">
        <v>147</v>
      </c>
      <c r="K650">
        <v>397</v>
      </c>
      <c r="L650" s="2">
        <v>3.1944444444444442E-3</v>
      </c>
      <c r="M650" s="2">
        <v>1.6689814814814817E-2</v>
      </c>
      <c r="N650" s="2">
        <v>0</v>
      </c>
      <c r="O650" s="2">
        <v>0</v>
      </c>
      <c r="P650" s="2">
        <v>0</v>
      </c>
    </row>
    <row r="651" spans="1:16" x14ac:dyDescent="0.3">
      <c r="A651" s="1">
        <v>45073.942060185182</v>
      </c>
      <c r="B651" s="1">
        <v>45073.992777777778</v>
      </c>
      <c r="C651">
        <v>64.53</v>
      </c>
      <c r="D651" s="2">
        <v>4.4803240740740741E-2</v>
      </c>
      <c r="E651">
        <v>12.602</v>
      </c>
      <c r="F651" s="2">
        <v>3.5532407407407405E-3</v>
      </c>
      <c r="G651">
        <v>11.72</v>
      </c>
      <c r="H651">
        <v>13.94</v>
      </c>
      <c r="I651">
        <v>159</v>
      </c>
      <c r="J651">
        <v>143</v>
      </c>
      <c r="K651">
        <v>913</v>
      </c>
      <c r="L651" s="2">
        <v>3.3912037037037036E-3</v>
      </c>
      <c r="M651" s="2">
        <v>1.7534722222222222E-2</v>
      </c>
      <c r="N651" s="2">
        <v>3.5254629629629629E-2</v>
      </c>
      <c r="O651" s="2">
        <v>0</v>
      </c>
      <c r="P651" s="2">
        <v>0</v>
      </c>
    </row>
    <row r="652" spans="1:16" x14ac:dyDescent="0.3">
      <c r="A652" s="1">
        <v>45075.744131944448</v>
      </c>
      <c r="B652" s="1">
        <v>45075.779849537037</v>
      </c>
      <c r="C652">
        <v>46.75</v>
      </c>
      <c r="D652" s="2">
        <v>3.246527777777778E-2</v>
      </c>
      <c r="E652">
        <v>10.205</v>
      </c>
      <c r="F652" s="2">
        <v>3.1712962962962958E-3</v>
      </c>
      <c r="G652">
        <v>13.1</v>
      </c>
      <c r="H652">
        <v>16.16</v>
      </c>
      <c r="I652">
        <v>165</v>
      </c>
      <c r="J652">
        <v>147</v>
      </c>
      <c r="K652">
        <v>712</v>
      </c>
      <c r="L652" s="2">
        <v>2.8587962962962963E-3</v>
      </c>
      <c r="M652" s="2">
        <v>1.554398148148148E-2</v>
      </c>
      <c r="N652" s="2">
        <v>3.1643518518518522E-2</v>
      </c>
      <c r="O652" s="2">
        <v>0</v>
      </c>
      <c r="P652" s="2">
        <v>0</v>
      </c>
    </row>
    <row r="653" spans="1:16" x14ac:dyDescent="0.3">
      <c r="A653" s="1">
        <v>45077.861400462964</v>
      </c>
      <c r="B653" s="1">
        <v>45077.871215277781</v>
      </c>
      <c r="C653">
        <v>14.15</v>
      </c>
      <c r="D653" s="2">
        <v>9.8148148148148144E-3</v>
      </c>
      <c r="E653">
        <v>2.6419999999999999</v>
      </c>
      <c r="F653" s="2">
        <v>3.7152777777777774E-3</v>
      </c>
      <c r="G653">
        <v>11.21</v>
      </c>
      <c r="H653">
        <v>13.74</v>
      </c>
      <c r="I653">
        <v>153</v>
      </c>
      <c r="J653">
        <v>138</v>
      </c>
      <c r="K653">
        <v>188</v>
      </c>
      <c r="L653" s="2">
        <v>3.5995370370370369E-3</v>
      </c>
      <c r="M653" s="2">
        <v>0</v>
      </c>
      <c r="N653" s="2">
        <v>0</v>
      </c>
      <c r="O653" s="2">
        <v>0</v>
      </c>
      <c r="P653" s="2">
        <v>0</v>
      </c>
    </row>
    <row r="654" spans="1:16" x14ac:dyDescent="0.3">
      <c r="A654" s="1">
        <v>45077.873993055553</v>
      </c>
      <c r="B654" s="1">
        <v>45077.90625</v>
      </c>
      <c r="C654">
        <v>46.45</v>
      </c>
      <c r="D654" s="2">
        <v>3.2256944444444442E-2</v>
      </c>
      <c r="E654">
        <v>10.055</v>
      </c>
      <c r="F654" s="2">
        <v>3.2060185185185191E-3</v>
      </c>
      <c r="G654">
        <v>12.99</v>
      </c>
      <c r="H654">
        <v>15.62</v>
      </c>
      <c r="I654">
        <v>170</v>
      </c>
      <c r="J654">
        <v>153</v>
      </c>
      <c r="K654">
        <v>721</v>
      </c>
      <c r="L654" s="2">
        <v>2.9745370370370373E-3</v>
      </c>
      <c r="M654" s="2">
        <v>1.5844907407407408E-2</v>
      </c>
      <c r="N654" s="2">
        <v>3.2094907407407412E-2</v>
      </c>
      <c r="O654" s="2">
        <v>0</v>
      </c>
      <c r="P654" s="2">
        <v>0</v>
      </c>
    </row>
    <row r="655" spans="1:16" x14ac:dyDescent="0.3">
      <c r="A655" s="1">
        <v>45078.976365740738</v>
      </c>
      <c r="B655" s="1">
        <v>45079.011145833334</v>
      </c>
      <c r="C655">
        <v>50.08</v>
      </c>
      <c r="D655" s="2">
        <v>3.4780092592592592E-2</v>
      </c>
      <c r="E655">
        <v>10.257</v>
      </c>
      <c r="F655" s="2">
        <v>3.37962962962963E-3</v>
      </c>
      <c r="G655">
        <v>12.29</v>
      </c>
      <c r="H655">
        <v>15.45</v>
      </c>
      <c r="I655">
        <v>170</v>
      </c>
      <c r="J655">
        <v>153</v>
      </c>
      <c r="K655">
        <v>750</v>
      </c>
      <c r="L655" s="2">
        <v>3.0555555555555557E-3</v>
      </c>
      <c r="M655" s="2">
        <v>1.6493055555555556E-2</v>
      </c>
      <c r="N655" s="2">
        <v>3.3796296296296297E-2</v>
      </c>
      <c r="O655" s="2">
        <v>0</v>
      </c>
      <c r="P655" s="2">
        <v>0</v>
      </c>
    </row>
    <row r="656" spans="1:16" x14ac:dyDescent="0.3">
      <c r="A656" s="1">
        <v>45080.986273148148</v>
      </c>
      <c r="B656" s="1">
        <v>45081.025833333333</v>
      </c>
      <c r="C656">
        <v>56.97</v>
      </c>
      <c r="D656" s="2">
        <v>3.9560185185185184E-2</v>
      </c>
      <c r="E656">
        <v>11.112</v>
      </c>
      <c r="F656" s="2">
        <v>3.5532407407407405E-3</v>
      </c>
      <c r="G656">
        <v>11.7</v>
      </c>
      <c r="H656">
        <v>13.87</v>
      </c>
      <c r="I656">
        <v>155</v>
      </c>
      <c r="J656">
        <v>143</v>
      </c>
      <c r="K656">
        <v>802</v>
      </c>
      <c r="L656" s="2">
        <v>3.4027777777777784E-3</v>
      </c>
      <c r="M656" s="2">
        <v>1.7604166666666667E-2</v>
      </c>
      <c r="N656" s="2">
        <v>3.5335648148148151E-2</v>
      </c>
      <c r="O656" s="2">
        <v>0</v>
      </c>
      <c r="P656" s="2">
        <v>0</v>
      </c>
    </row>
    <row r="657" spans="1:16" x14ac:dyDescent="0.3">
      <c r="A657" s="1">
        <v>45082.743530092594</v>
      </c>
      <c r="B657" s="1">
        <v>45082.782569444447</v>
      </c>
      <c r="C657">
        <v>51.93</v>
      </c>
      <c r="D657" s="2">
        <v>3.605324074074074E-2</v>
      </c>
      <c r="E657">
        <v>10.054</v>
      </c>
      <c r="F657" s="2">
        <v>3.5763888888888894E-3</v>
      </c>
      <c r="G657">
        <v>11.62</v>
      </c>
      <c r="H657">
        <v>22.43</v>
      </c>
      <c r="I657">
        <v>169</v>
      </c>
      <c r="J657">
        <v>132</v>
      </c>
      <c r="K657">
        <v>697</v>
      </c>
      <c r="L657" s="2">
        <v>2.9745370370370373E-3</v>
      </c>
      <c r="M657" s="2">
        <v>1.7164351851851851E-2</v>
      </c>
      <c r="N657" s="2">
        <v>3.5879629629629629E-2</v>
      </c>
      <c r="O657" s="2">
        <v>0</v>
      </c>
      <c r="P657" s="2">
        <v>0</v>
      </c>
    </row>
    <row r="658" spans="1:16" x14ac:dyDescent="0.3">
      <c r="A658" s="1">
        <v>45084.865162037036</v>
      </c>
      <c r="B658" s="1">
        <v>45084.904050925928</v>
      </c>
      <c r="C658">
        <v>56</v>
      </c>
      <c r="D658" s="2">
        <v>3.888888888888889E-2</v>
      </c>
      <c r="E658">
        <v>10.502000000000001</v>
      </c>
      <c r="F658" s="2">
        <v>3.6921296296296298E-3</v>
      </c>
      <c r="G658">
        <v>11.25</v>
      </c>
      <c r="H658">
        <v>12.43</v>
      </c>
      <c r="I658">
        <v>162</v>
      </c>
      <c r="J658">
        <v>145</v>
      </c>
      <c r="K658">
        <v>759</v>
      </c>
      <c r="L658" s="2">
        <v>3.5532407407407405E-3</v>
      </c>
      <c r="M658" s="2">
        <v>1.8136574074074072E-2</v>
      </c>
      <c r="N658" s="2">
        <v>3.6863425925925931E-2</v>
      </c>
      <c r="O658" s="2">
        <v>0</v>
      </c>
      <c r="P658" s="2">
        <v>0</v>
      </c>
    </row>
    <row r="659" spans="1:16" x14ac:dyDescent="0.3">
      <c r="A659" s="1">
        <v>45086.324189814812</v>
      </c>
      <c r="B659" s="1">
        <v>45086.337766203702</v>
      </c>
      <c r="C659">
        <v>19.55</v>
      </c>
      <c r="D659" s="2">
        <v>1.357638888888889E-2</v>
      </c>
      <c r="E659">
        <v>4.9619999999999997</v>
      </c>
      <c r="F659" s="2">
        <v>2.7083333333333334E-3</v>
      </c>
      <c r="G659">
        <v>15.35</v>
      </c>
      <c r="H659">
        <v>19.25</v>
      </c>
      <c r="I659">
        <v>177</v>
      </c>
      <c r="J659">
        <v>168</v>
      </c>
      <c r="K659">
        <v>314</v>
      </c>
      <c r="L659" s="2">
        <v>2.5925925925925925E-3</v>
      </c>
      <c r="M659" s="2">
        <v>1.357638888888889E-2</v>
      </c>
      <c r="N659" s="2">
        <v>0</v>
      </c>
      <c r="O659" s="2">
        <v>0</v>
      </c>
      <c r="P659" s="2">
        <v>0</v>
      </c>
    </row>
    <row r="660" spans="1:16" x14ac:dyDescent="0.3">
      <c r="A660" s="1">
        <v>45087.988842592589</v>
      </c>
      <c r="B660" s="1">
        <v>45088.028437499997</v>
      </c>
      <c r="C660">
        <v>57.02</v>
      </c>
      <c r="D660" s="2">
        <v>3.9583333333333331E-2</v>
      </c>
      <c r="E660">
        <v>11.112</v>
      </c>
      <c r="F660" s="2">
        <v>3.5532407407407405E-3</v>
      </c>
      <c r="G660">
        <v>11.69</v>
      </c>
      <c r="H660">
        <v>14.21</v>
      </c>
      <c r="I660">
        <v>154</v>
      </c>
      <c r="J660">
        <v>142</v>
      </c>
      <c r="K660">
        <v>787</v>
      </c>
      <c r="L660" s="2">
        <v>3.3564814814814811E-3</v>
      </c>
      <c r="M660" s="2">
        <v>1.7430555555555557E-2</v>
      </c>
      <c r="N660" s="2">
        <v>3.5381944444444445E-2</v>
      </c>
      <c r="O660" s="2">
        <v>0</v>
      </c>
      <c r="P660" s="2">
        <v>0</v>
      </c>
    </row>
    <row r="661" spans="1:16" x14ac:dyDescent="0.3">
      <c r="A661" s="1">
        <v>45089.745046296295</v>
      </c>
      <c r="B661" s="1">
        <v>45089.780115740738</v>
      </c>
      <c r="C661">
        <v>50.5</v>
      </c>
      <c r="D661" s="2">
        <v>3.5069444444444445E-2</v>
      </c>
      <c r="E661">
        <v>11.109</v>
      </c>
      <c r="F661" s="2">
        <v>3.1481481481481482E-3</v>
      </c>
      <c r="G661">
        <v>13.2</v>
      </c>
      <c r="H661">
        <v>14.91</v>
      </c>
      <c r="I661">
        <v>175</v>
      </c>
      <c r="J661">
        <v>153</v>
      </c>
      <c r="K661">
        <v>790</v>
      </c>
      <c r="L661" s="2">
        <v>2.8819444444444444E-3</v>
      </c>
      <c r="M661" s="2">
        <v>1.4953703703703705E-2</v>
      </c>
      <c r="N661" s="2">
        <v>3.1134259259259261E-2</v>
      </c>
      <c r="O661" s="2">
        <v>0</v>
      </c>
      <c r="P661" s="2">
        <v>0</v>
      </c>
    </row>
    <row r="662" spans="1:16" x14ac:dyDescent="0.3">
      <c r="A662" s="1">
        <v>45090.875844907408</v>
      </c>
      <c r="B662" s="1">
        <v>45090.9141087963</v>
      </c>
      <c r="C662">
        <v>55.1</v>
      </c>
      <c r="D662" s="2">
        <v>3.8263888888888889E-2</v>
      </c>
      <c r="E662">
        <v>10.262</v>
      </c>
      <c r="F662" s="2">
        <v>3.7268518518518514E-3</v>
      </c>
      <c r="G662">
        <v>11.17</v>
      </c>
      <c r="H662">
        <v>12.93</v>
      </c>
      <c r="I662">
        <v>164</v>
      </c>
      <c r="J662">
        <v>137</v>
      </c>
      <c r="K662">
        <v>723</v>
      </c>
      <c r="L662" s="2">
        <v>3.5763888888888894E-3</v>
      </c>
      <c r="M662" s="2">
        <v>1.8368055555555554E-2</v>
      </c>
      <c r="N662" s="2">
        <v>3.7256944444444447E-2</v>
      </c>
      <c r="O662" s="2">
        <v>0</v>
      </c>
      <c r="P662" s="2">
        <v>0</v>
      </c>
    </row>
    <row r="663" spans="1:16" x14ac:dyDescent="0.3">
      <c r="A663" s="1">
        <v>45092.875277777777</v>
      </c>
      <c r="B663" s="1">
        <v>45092.884571759256</v>
      </c>
      <c r="C663">
        <v>13.4</v>
      </c>
      <c r="D663" s="2">
        <v>9.2939814814814812E-3</v>
      </c>
      <c r="E663">
        <v>2.5249999999999999</v>
      </c>
      <c r="F663" s="2">
        <v>3.6805555555555554E-3</v>
      </c>
      <c r="G663">
        <v>11.31</v>
      </c>
      <c r="H663">
        <v>14.91</v>
      </c>
      <c r="I663">
        <v>154</v>
      </c>
      <c r="J663">
        <v>139</v>
      </c>
      <c r="K663">
        <v>186</v>
      </c>
      <c r="L663" s="2">
        <v>3.2754629629629631E-3</v>
      </c>
      <c r="M663" s="2">
        <v>0</v>
      </c>
      <c r="N663" s="2">
        <v>0</v>
      </c>
      <c r="O663" s="2">
        <v>0</v>
      </c>
      <c r="P663" s="2">
        <v>0</v>
      </c>
    </row>
    <row r="664" spans="1:16" x14ac:dyDescent="0.3">
      <c r="A664" s="1">
        <v>45092.906412037039</v>
      </c>
      <c r="B664" s="1">
        <v>45092.919664351852</v>
      </c>
      <c r="C664">
        <v>19.079999999999998</v>
      </c>
      <c r="D664" s="2">
        <v>1.324074074074074E-2</v>
      </c>
      <c r="E664">
        <v>5.0449999999999999</v>
      </c>
      <c r="F664" s="2">
        <v>2.615740740740741E-3</v>
      </c>
      <c r="G664">
        <v>15.86</v>
      </c>
      <c r="H664">
        <v>18.95</v>
      </c>
      <c r="I664">
        <v>177</v>
      </c>
      <c r="J664">
        <v>147</v>
      </c>
      <c r="K664">
        <v>307</v>
      </c>
      <c r="L664" s="2">
        <v>2.4189814814814816E-3</v>
      </c>
      <c r="M664" s="2">
        <v>1.3148148148148147E-2</v>
      </c>
      <c r="N664" s="2">
        <v>0</v>
      </c>
      <c r="O664" s="2">
        <v>0</v>
      </c>
      <c r="P664" s="2">
        <v>0</v>
      </c>
    </row>
    <row r="665" spans="1:16" x14ac:dyDescent="0.3">
      <c r="A665" s="1">
        <v>45094.964479166665</v>
      </c>
      <c r="B665" s="1">
        <v>45095.008750000001</v>
      </c>
      <c r="C665">
        <v>63.75</v>
      </c>
      <c r="D665" s="2">
        <v>4.4270833333333336E-2</v>
      </c>
      <c r="E665">
        <v>12.04</v>
      </c>
      <c r="F665" s="2">
        <v>3.6689814814814814E-3</v>
      </c>
      <c r="G665">
        <v>11.33</v>
      </c>
      <c r="H665">
        <v>12.93</v>
      </c>
      <c r="I665">
        <v>160</v>
      </c>
      <c r="J665">
        <v>145</v>
      </c>
      <c r="K665">
        <v>880</v>
      </c>
      <c r="L665" s="2">
        <v>3.3449074074074071E-3</v>
      </c>
      <c r="M665" s="2">
        <v>1.7488425925925925E-2</v>
      </c>
      <c r="N665" s="2">
        <v>3.6030092592592593E-2</v>
      </c>
      <c r="O665" s="2">
        <v>0</v>
      </c>
      <c r="P665" s="2">
        <v>0</v>
      </c>
    </row>
    <row r="666" spans="1:16" x14ac:dyDescent="0.3">
      <c r="A666" s="1">
        <v>45096.742222222223</v>
      </c>
      <c r="B666" s="1">
        <v>45096.749143518522</v>
      </c>
      <c r="C666">
        <v>9.98</v>
      </c>
      <c r="D666" s="2">
        <v>6.9212962962962969E-3</v>
      </c>
      <c r="E666">
        <v>1.6879999999999999</v>
      </c>
      <c r="F666" s="2">
        <v>4.0972222222222226E-3</v>
      </c>
      <c r="G666">
        <v>10.15</v>
      </c>
      <c r="H666">
        <v>11.29</v>
      </c>
      <c r="I666">
        <v>141</v>
      </c>
      <c r="J666">
        <v>124</v>
      </c>
      <c r="K666">
        <v>115</v>
      </c>
      <c r="L666" s="2">
        <v>4.1203703703703706E-3</v>
      </c>
      <c r="M666" s="2">
        <v>0</v>
      </c>
      <c r="N666" s="2">
        <v>0</v>
      </c>
      <c r="O666" s="2">
        <v>0</v>
      </c>
      <c r="P666" s="2">
        <v>0</v>
      </c>
    </row>
    <row r="667" spans="1:16" x14ac:dyDescent="0.3">
      <c r="A667" s="1">
        <v>45096.751782407409</v>
      </c>
      <c r="B667" s="1">
        <v>45096.790613425925</v>
      </c>
      <c r="C667">
        <v>53.3</v>
      </c>
      <c r="D667" s="2">
        <v>3.7002314814814814E-2</v>
      </c>
      <c r="E667">
        <v>10.202</v>
      </c>
      <c r="F667" s="2">
        <v>3.6226851851851854E-3</v>
      </c>
      <c r="G667">
        <v>11.48</v>
      </c>
      <c r="H667">
        <v>17.5</v>
      </c>
      <c r="I667">
        <v>160</v>
      </c>
      <c r="J667">
        <v>137</v>
      </c>
      <c r="K667">
        <v>726</v>
      </c>
      <c r="L667" s="2">
        <v>3.414351851851852E-3</v>
      </c>
      <c r="M667" s="2">
        <v>1.8020833333333333E-2</v>
      </c>
      <c r="N667" s="2">
        <v>3.6215277777777777E-2</v>
      </c>
      <c r="O667" s="2">
        <v>0</v>
      </c>
      <c r="P667" s="2">
        <v>0</v>
      </c>
    </row>
    <row r="668" spans="1:16" x14ac:dyDescent="0.3">
      <c r="A668" s="1">
        <v>45098.951979166668</v>
      </c>
      <c r="B668" s="1">
        <v>45098.98841435185</v>
      </c>
      <c r="C668">
        <v>52.47</v>
      </c>
      <c r="D668" s="2">
        <v>3.6435185185185189E-2</v>
      </c>
      <c r="E668">
        <v>11.204000000000001</v>
      </c>
      <c r="F668" s="2">
        <v>3.2407407407407406E-3</v>
      </c>
      <c r="G668">
        <v>12.81</v>
      </c>
      <c r="H668">
        <v>15.32</v>
      </c>
      <c r="I668">
        <v>173</v>
      </c>
      <c r="J668">
        <v>156</v>
      </c>
      <c r="K668">
        <v>797</v>
      </c>
      <c r="L668" s="2">
        <v>2.9745370370370373E-3</v>
      </c>
      <c r="M668" s="2">
        <v>1.5648148148148151E-2</v>
      </c>
      <c r="N668" s="2">
        <v>3.2025462962962964E-2</v>
      </c>
      <c r="O668" s="2">
        <v>0</v>
      </c>
      <c r="P668" s="2">
        <v>0</v>
      </c>
    </row>
    <row r="669" spans="1:16" x14ac:dyDescent="0.3">
      <c r="A669" s="1">
        <v>45100.265844907408</v>
      </c>
      <c r="B669" s="1">
        <v>45100.320625</v>
      </c>
      <c r="C669">
        <v>78.13</v>
      </c>
      <c r="D669" s="2">
        <v>5.4259259259259257E-2</v>
      </c>
      <c r="E669">
        <v>14.090999999999999</v>
      </c>
      <c r="F669" s="2">
        <v>3.8425925925925923E-3</v>
      </c>
      <c r="G669">
        <v>10.82</v>
      </c>
      <c r="H669">
        <v>13.47</v>
      </c>
      <c r="I669">
        <v>167</v>
      </c>
      <c r="J669">
        <v>144</v>
      </c>
      <c r="K669">
        <v>1069</v>
      </c>
      <c r="L669" s="2">
        <v>3.3101851851851851E-3</v>
      </c>
      <c r="M669" s="2">
        <v>1.8171296296296297E-2</v>
      </c>
      <c r="N669" s="2">
        <v>3.8240740740740742E-2</v>
      </c>
      <c r="O669" s="2">
        <v>0</v>
      </c>
      <c r="P669" s="2">
        <v>0</v>
      </c>
    </row>
    <row r="670" spans="1:16" x14ac:dyDescent="0.3">
      <c r="A670" s="1">
        <v>45101.967303240737</v>
      </c>
      <c r="B670" s="1">
        <v>45102.004999999997</v>
      </c>
      <c r="C670">
        <v>54.28</v>
      </c>
      <c r="D670" s="2">
        <v>3.7685185185185183E-2</v>
      </c>
      <c r="E670">
        <v>10.253</v>
      </c>
      <c r="F670" s="2">
        <v>3.6689814814814814E-3</v>
      </c>
      <c r="G670">
        <v>11.33</v>
      </c>
      <c r="H670">
        <v>13</v>
      </c>
      <c r="I670">
        <v>150</v>
      </c>
      <c r="J670">
        <v>140</v>
      </c>
      <c r="K670">
        <v>734</v>
      </c>
      <c r="L670" s="2">
        <v>3.483796296296296E-3</v>
      </c>
      <c r="M670" s="2">
        <v>1.8136574074074072E-2</v>
      </c>
      <c r="N670" s="2">
        <v>3.6736111111111108E-2</v>
      </c>
      <c r="O670" s="2">
        <v>0</v>
      </c>
      <c r="P670" s="2">
        <v>0</v>
      </c>
    </row>
    <row r="671" spans="1:16" x14ac:dyDescent="0.3">
      <c r="A671" s="1">
        <v>45103.752638888887</v>
      </c>
      <c r="B671" s="1">
        <v>45103.784502314818</v>
      </c>
      <c r="C671">
        <v>43.55</v>
      </c>
      <c r="D671" s="2">
        <v>3.0231481481481481E-2</v>
      </c>
      <c r="E671">
        <v>10.109</v>
      </c>
      <c r="F671" s="2">
        <v>2.9861111111111113E-3</v>
      </c>
      <c r="G671">
        <v>13.93</v>
      </c>
      <c r="H671">
        <v>16.02</v>
      </c>
      <c r="I671">
        <v>179</v>
      </c>
      <c r="J671">
        <v>157</v>
      </c>
      <c r="K671">
        <v>703</v>
      </c>
      <c r="L671" s="2">
        <v>2.673611111111111E-3</v>
      </c>
      <c r="M671" s="2">
        <v>1.4236111111111111E-2</v>
      </c>
      <c r="N671" s="2">
        <v>2.9837962962962965E-2</v>
      </c>
      <c r="O671" s="2">
        <v>0</v>
      </c>
      <c r="P671" s="2">
        <v>0</v>
      </c>
    </row>
    <row r="672" spans="1:16" x14ac:dyDescent="0.3">
      <c r="A672" s="1">
        <v>45104.871782407405</v>
      </c>
      <c r="B672" s="1">
        <v>45104.90997685185</v>
      </c>
      <c r="C672">
        <v>54.3</v>
      </c>
      <c r="D672" s="2">
        <v>3.7696759259259256E-2</v>
      </c>
      <c r="E672">
        <v>11.109</v>
      </c>
      <c r="F672" s="2">
        <v>3.3912037037037036E-3</v>
      </c>
      <c r="G672">
        <v>12.28</v>
      </c>
      <c r="H672">
        <v>14.81</v>
      </c>
      <c r="I672">
        <v>179</v>
      </c>
      <c r="J672">
        <v>148</v>
      </c>
      <c r="K672">
        <v>795</v>
      </c>
      <c r="L672" s="2">
        <v>2.9513888888888888E-3</v>
      </c>
      <c r="M672" s="2">
        <v>1.5601851851851851E-2</v>
      </c>
      <c r="N672" s="2">
        <v>3.3506944444444443E-2</v>
      </c>
      <c r="O672" s="2">
        <v>0</v>
      </c>
      <c r="P672" s="2">
        <v>0</v>
      </c>
    </row>
    <row r="673" spans="1:16" x14ac:dyDescent="0.3">
      <c r="A673" s="1">
        <v>45106.744027777779</v>
      </c>
      <c r="B673" s="1">
        <v>45106.779490740744</v>
      </c>
      <c r="C673">
        <v>49.53</v>
      </c>
      <c r="D673" s="2">
        <v>3.4386574074074076E-2</v>
      </c>
      <c r="E673">
        <v>10.358000000000001</v>
      </c>
      <c r="F673" s="2">
        <v>3.3101851851851851E-3</v>
      </c>
      <c r="G673">
        <v>12.55</v>
      </c>
      <c r="H673">
        <v>15.32</v>
      </c>
      <c r="I673">
        <v>174</v>
      </c>
      <c r="J673">
        <v>152</v>
      </c>
      <c r="K673">
        <v>742</v>
      </c>
      <c r="L673" s="2">
        <v>3.1134259259259257E-3</v>
      </c>
      <c r="M673" s="2">
        <v>1.6412037037037037E-2</v>
      </c>
      <c r="N673" s="2">
        <v>3.318287037037037E-2</v>
      </c>
      <c r="O673" s="2">
        <v>0</v>
      </c>
      <c r="P673" s="2">
        <v>0</v>
      </c>
    </row>
    <row r="674" spans="1:16" x14ac:dyDescent="0.3">
      <c r="A674" s="1">
        <v>45107.707349537035</v>
      </c>
      <c r="B674" s="1">
        <v>45107.736122685186</v>
      </c>
      <c r="C674">
        <v>41.43</v>
      </c>
      <c r="D674" s="2">
        <v>2.8761574074074075E-2</v>
      </c>
      <c r="E674">
        <v>8.2070000000000007</v>
      </c>
      <c r="F674" s="2">
        <v>3.4953703703703705E-3</v>
      </c>
      <c r="G674">
        <v>11.88</v>
      </c>
      <c r="H674">
        <v>13.5</v>
      </c>
      <c r="I674">
        <v>158</v>
      </c>
      <c r="J674">
        <v>144</v>
      </c>
      <c r="K674">
        <v>597</v>
      </c>
      <c r="L674" s="2">
        <v>3.3101851851851851E-3</v>
      </c>
      <c r="M674" s="2">
        <v>1.7199074074074071E-2</v>
      </c>
      <c r="N674" s="2">
        <v>0</v>
      </c>
      <c r="O674" s="2">
        <v>0</v>
      </c>
      <c r="P674" s="2">
        <v>0</v>
      </c>
    </row>
    <row r="675" spans="1:16" x14ac:dyDescent="0.3">
      <c r="A675" s="1">
        <v>45108.985034722224</v>
      </c>
      <c r="B675" s="1">
        <v>45109.022777777776</v>
      </c>
      <c r="C675">
        <v>54.35</v>
      </c>
      <c r="D675" s="2">
        <v>3.7743055555555557E-2</v>
      </c>
      <c r="E675">
        <v>10.395</v>
      </c>
      <c r="F675" s="2">
        <v>3.6226851851851854E-3</v>
      </c>
      <c r="G675">
        <v>11.48</v>
      </c>
      <c r="H675">
        <v>13.67</v>
      </c>
      <c r="I675">
        <v>154</v>
      </c>
      <c r="J675">
        <v>140</v>
      </c>
      <c r="K675">
        <v>756</v>
      </c>
      <c r="L675" s="2">
        <v>3.3333333333333335E-3</v>
      </c>
      <c r="M675" s="2">
        <v>1.758101851851852E-2</v>
      </c>
      <c r="N675" s="2">
        <v>3.6122685185185181E-2</v>
      </c>
      <c r="O675" s="2">
        <v>0</v>
      </c>
      <c r="P675" s="2">
        <v>0</v>
      </c>
    </row>
    <row r="676" spans="1:16" x14ac:dyDescent="0.3">
      <c r="A676" s="1">
        <v>45110.743773148148</v>
      </c>
      <c r="B676" s="1">
        <v>45110.777581018519</v>
      </c>
      <c r="C676">
        <v>47.5</v>
      </c>
      <c r="D676" s="2">
        <v>3.2986111111111112E-2</v>
      </c>
      <c r="E676">
        <v>10.305</v>
      </c>
      <c r="F676" s="2">
        <v>3.1944444444444442E-3</v>
      </c>
      <c r="G676">
        <v>13.02</v>
      </c>
      <c r="H676">
        <v>16.16</v>
      </c>
      <c r="I676">
        <v>178</v>
      </c>
      <c r="J676">
        <v>148</v>
      </c>
      <c r="K676">
        <v>725</v>
      </c>
      <c r="L676" s="2">
        <v>2.6504629629629625E-3</v>
      </c>
      <c r="M676" s="2">
        <v>1.4780092592592595E-2</v>
      </c>
      <c r="N676" s="2">
        <v>3.1817129629629633E-2</v>
      </c>
      <c r="O676" s="2">
        <v>0</v>
      </c>
      <c r="P676" s="2">
        <v>0</v>
      </c>
    </row>
    <row r="677" spans="1:16" x14ac:dyDescent="0.3">
      <c r="A677" s="1">
        <v>45112.752789351849</v>
      </c>
      <c r="B677" s="1">
        <v>45112.775717592594</v>
      </c>
      <c r="C677">
        <v>33.020000000000003</v>
      </c>
      <c r="D677" s="2">
        <v>2.2916666666666669E-2</v>
      </c>
      <c r="E677">
        <v>6.101</v>
      </c>
      <c r="F677" s="2">
        <v>3.7500000000000003E-3</v>
      </c>
      <c r="G677">
        <v>11.09</v>
      </c>
      <c r="H677">
        <v>12.02</v>
      </c>
      <c r="I677">
        <v>158</v>
      </c>
      <c r="J677">
        <v>144</v>
      </c>
      <c r="K677">
        <v>464</v>
      </c>
      <c r="L677" s="2">
        <v>3.5879629629629629E-3</v>
      </c>
      <c r="M677" s="2">
        <v>1.861111111111111E-2</v>
      </c>
      <c r="N677" s="2">
        <v>0</v>
      </c>
      <c r="O677" s="2">
        <v>0</v>
      </c>
      <c r="P677" s="2">
        <v>0</v>
      </c>
    </row>
    <row r="678" spans="1:16" x14ac:dyDescent="0.3">
      <c r="A678" s="1">
        <v>45114.324791666666</v>
      </c>
      <c r="B678" s="1">
        <v>45114.374039351853</v>
      </c>
      <c r="C678">
        <v>70.92</v>
      </c>
      <c r="D678" s="2">
        <v>4.9247685185185186E-2</v>
      </c>
      <c r="E678">
        <v>13.504</v>
      </c>
      <c r="F678" s="2">
        <v>3.645833333333333E-3</v>
      </c>
      <c r="G678">
        <v>11.43</v>
      </c>
      <c r="H678">
        <v>12.7</v>
      </c>
      <c r="I678">
        <v>164</v>
      </c>
      <c r="J678">
        <v>150</v>
      </c>
      <c r="K678">
        <v>1015</v>
      </c>
      <c r="L678" s="2">
        <v>3.4027777777777784E-3</v>
      </c>
      <c r="M678" s="2">
        <v>1.7835648148148149E-2</v>
      </c>
      <c r="N678" s="2">
        <v>3.619212962962963E-2</v>
      </c>
      <c r="O678" s="2">
        <v>0</v>
      </c>
      <c r="P678" s="2">
        <v>0</v>
      </c>
    </row>
    <row r="679" spans="1:16" x14ac:dyDescent="0.3">
      <c r="A679" s="1">
        <v>45115.917430555557</v>
      </c>
      <c r="B679" s="1">
        <v>45115.96298611111</v>
      </c>
      <c r="C679">
        <v>65.58</v>
      </c>
      <c r="D679" s="2">
        <v>4.553240740740741E-2</v>
      </c>
      <c r="E679">
        <v>12.211</v>
      </c>
      <c r="F679" s="2">
        <v>3.7268518518518514E-3</v>
      </c>
      <c r="G679">
        <v>11.17</v>
      </c>
      <c r="H679">
        <v>14.34</v>
      </c>
      <c r="I679">
        <v>157</v>
      </c>
      <c r="J679">
        <v>143</v>
      </c>
      <c r="K679">
        <v>877</v>
      </c>
      <c r="L679" s="2">
        <v>3.2754629629629631E-3</v>
      </c>
      <c r="M679" s="2">
        <v>1.7777777777777778E-2</v>
      </c>
      <c r="N679" s="2">
        <v>3.664351851851852E-2</v>
      </c>
      <c r="O679" s="2">
        <v>0</v>
      </c>
      <c r="P679" s="2">
        <v>0</v>
      </c>
    </row>
    <row r="680" spans="1:16" x14ac:dyDescent="0.3">
      <c r="A680" s="1">
        <v>45116.752928240741</v>
      </c>
      <c r="B680" s="1">
        <v>45116.773784722223</v>
      </c>
      <c r="C680">
        <v>30.03</v>
      </c>
      <c r="D680" s="2">
        <v>2.0856481481481479E-2</v>
      </c>
      <c r="E680">
        <v>5.8739999999999997</v>
      </c>
      <c r="F680" s="2">
        <v>3.3564814814814811E-3</v>
      </c>
      <c r="G680">
        <v>12.39</v>
      </c>
      <c r="H680">
        <v>17.670000000000002</v>
      </c>
      <c r="I680">
        <v>158</v>
      </c>
      <c r="J680">
        <v>144</v>
      </c>
      <c r="K680">
        <v>500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</row>
    <row r="681" spans="1:16" x14ac:dyDescent="0.3">
      <c r="A681" s="1">
        <v>45117.744652777779</v>
      </c>
      <c r="B681" s="1">
        <v>45117.778379629628</v>
      </c>
      <c r="C681">
        <v>46.87</v>
      </c>
      <c r="D681" s="2">
        <v>3.2546296296296295E-2</v>
      </c>
      <c r="E681">
        <v>10.007999999999999</v>
      </c>
      <c r="F681" s="2">
        <v>3.2407407407407406E-3</v>
      </c>
      <c r="G681">
        <v>12.81</v>
      </c>
      <c r="H681">
        <v>15.89</v>
      </c>
      <c r="I681">
        <v>184</v>
      </c>
      <c r="J681">
        <v>152</v>
      </c>
      <c r="K681">
        <v>693</v>
      </c>
      <c r="L681" s="2">
        <v>2.8703703703703708E-3</v>
      </c>
      <c r="M681" s="2">
        <v>1.53125E-2</v>
      </c>
      <c r="N681" s="2">
        <v>3.2534722222222222E-2</v>
      </c>
      <c r="O681" s="2">
        <v>0</v>
      </c>
      <c r="P681" s="2">
        <v>0</v>
      </c>
    </row>
    <row r="682" spans="1:16" x14ac:dyDescent="0.3">
      <c r="A682" s="1">
        <v>45118.895567129628</v>
      </c>
      <c r="B682" s="1">
        <v>45118.93310185185</v>
      </c>
      <c r="C682">
        <v>54.05</v>
      </c>
      <c r="D682" s="2">
        <v>3.7523148148148146E-2</v>
      </c>
      <c r="E682">
        <v>11.356999999999999</v>
      </c>
      <c r="F682" s="2">
        <v>3.2986111111111111E-3</v>
      </c>
      <c r="G682">
        <v>12.61</v>
      </c>
      <c r="H682">
        <v>15.62</v>
      </c>
      <c r="I682">
        <v>175</v>
      </c>
      <c r="J682">
        <v>149</v>
      </c>
      <c r="K682">
        <v>776</v>
      </c>
      <c r="L682" s="2">
        <v>2.9629629629629628E-3</v>
      </c>
      <c r="M682" s="2">
        <v>1.5486111111111112E-2</v>
      </c>
      <c r="N682" s="2">
        <v>3.2627314814814817E-2</v>
      </c>
      <c r="O682" s="2">
        <v>0</v>
      </c>
      <c r="P682" s="2">
        <v>0</v>
      </c>
    </row>
    <row r="683" spans="1:16" x14ac:dyDescent="0.3">
      <c r="A683" s="1">
        <v>45119.751296296294</v>
      </c>
      <c r="B683" s="1">
        <v>45119.76935185185</v>
      </c>
      <c r="C683">
        <v>26</v>
      </c>
      <c r="D683" s="2">
        <v>1.8055555555555557E-2</v>
      </c>
      <c r="E683">
        <v>5.2560000000000002</v>
      </c>
      <c r="F683" s="2">
        <v>3.5648148148148154E-3</v>
      </c>
      <c r="G683">
        <v>11.65</v>
      </c>
      <c r="H683">
        <v>17.739999999999998</v>
      </c>
      <c r="I683">
        <v>163</v>
      </c>
      <c r="J683">
        <v>144</v>
      </c>
      <c r="K683">
        <v>433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</row>
    <row r="684" spans="1:16" x14ac:dyDescent="0.3">
      <c r="A684" s="1">
        <v>45121.709456018521</v>
      </c>
      <c r="B684" s="1">
        <v>45121.748969907407</v>
      </c>
      <c r="C684">
        <v>56.9</v>
      </c>
      <c r="D684" s="2">
        <v>3.9502314814814816E-2</v>
      </c>
      <c r="E684">
        <v>11.115</v>
      </c>
      <c r="F684" s="2">
        <v>3.5532407407407405E-3</v>
      </c>
      <c r="G684">
        <v>11.72</v>
      </c>
      <c r="H684">
        <v>13.54</v>
      </c>
      <c r="I684">
        <v>167</v>
      </c>
      <c r="J684">
        <v>151</v>
      </c>
      <c r="K684">
        <v>819</v>
      </c>
      <c r="L684" s="2">
        <v>3.2175925925925926E-3</v>
      </c>
      <c r="M684" s="2">
        <v>1.7013888888888887E-2</v>
      </c>
      <c r="N684" s="2">
        <v>3.5173611111111107E-2</v>
      </c>
      <c r="O684" s="2">
        <v>0</v>
      </c>
      <c r="P684" s="2">
        <v>0</v>
      </c>
    </row>
    <row r="685" spans="1:16" x14ac:dyDescent="0.3">
      <c r="A685" s="1">
        <v>45122.937789351854</v>
      </c>
      <c r="B685" s="1">
        <v>45122.997245370374</v>
      </c>
      <c r="C685">
        <v>85.62</v>
      </c>
      <c r="D685" s="2">
        <v>5.9444444444444446E-2</v>
      </c>
      <c r="E685">
        <v>16.11</v>
      </c>
      <c r="F685" s="2">
        <v>3.6805555555555554E-3</v>
      </c>
      <c r="G685">
        <v>11.29</v>
      </c>
      <c r="H685">
        <v>13.3</v>
      </c>
      <c r="I685">
        <v>166</v>
      </c>
      <c r="J685">
        <v>146</v>
      </c>
      <c r="K685">
        <v>1150</v>
      </c>
      <c r="L685" s="2">
        <v>3.4953703703703705E-3</v>
      </c>
      <c r="M685" s="2">
        <v>1.8229166666666668E-2</v>
      </c>
      <c r="N685" s="2">
        <v>3.6608796296296299E-2</v>
      </c>
      <c r="O685" s="2">
        <v>0</v>
      </c>
      <c r="P685" s="2">
        <v>0</v>
      </c>
    </row>
    <row r="686" spans="1:16" x14ac:dyDescent="0.3">
      <c r="A686" s="1">
        <v>45124.744710648149</v>
      </c>
      <c r="B686" s="1">
        <v>45124.77847222222</v>
      </c>
      <c r="C686">
        <v>47.48</v>
      </c>
      <c r="D686" s="2">
        <v>3.2974537037037038E-2</v>
      </c>
      <c r="E686">
        <v>10.624000000000001</v>
      </c>
      <c r="F686" s="2">
        <v>3.1018518518518522E-3</v>
      </c>
      <c r="G686">
        <v>13.42</v>
      </c>
      <c r="H686">
        <v>16.329999999999998</v>
      </c>
      <c r="I686">
        <v>181</v>
      </c>
      <c r="J686">
        <v>160</v>
      </c>
      <c r="K686">
        <v>735</v>
      </c>
      <c r="L686" s="2">
        <v>2.8356481481481479E-3</v>
      </c>
      <c r="M686" s="2">
        <v>1.4837962962962963E-2</v>
      </c>
      <c r="N686" s="2">
        <v>3.0763888888888886E-2</v>
      </c>
      <c r="O686" s="2">
        <v>0</v>
      </c>
      <c r="P686" s="2">
        <v>0</v>
      </c>
    </row>
    <row r="687" spans="1:16" x14ac:dyDescent="0.3">
      <c r="A687" s="1">
        <v>45125.896469907406</v>
      </c>
      <c r="B687" s="1">
        <v>45125.937037037038</v>
      </c>
      <c r="C687">
        <v>58.42</v>
      </c>
      <c r="D687" s="2">
        <v>4.0555555555555553E-2</v>
      </c>
      <c r="E687">
        <v>12.404999999999999</v>
      </c>
      <c r="F687" s="2">
        <v>3.2638888888888891E-3</v>
      </c>
      <c r="G687">
        <v>12.74</v>
      </c>
      <c r="H687">
        <v>14.38</v>
      </c>
      <c r="I687">
        <v>165</v>
      </c>
      <c r="J687">
        <v>152</v>
      </c>
      <c r="K687">
        <v>862</v>
      </c>
      <c r="L687" s="2">
        <v>3.1134259259259257E-3</v>
      </c>
      <c r="M687" s="2">
        <v>1.579861111111111E-2</v>
      </c>
      <c r="N687" s="2">
        <v>3.2141203703703707E-2</v>
      </c>
      <c r="O687" s="2">
        <v>0</v>
      </c>
      <c r="P687" s="2">
        <v>0</v>
      </c>
    </row>
    <row r="688" spans="1:16" x14ac:dyDescent="0.3">
      <c r="A688" s="1">
        <v>45126.877858796295</v>
      </c>
      <c r="B688" s="1">
        <v>45126.961562500001</v>
      </c>
      <c r="C688">
        <v>29.44</v>
      </c>
      <c r="D688" s="2">
        <v>2.0439814814814817E-2</v>
      </c>
      <c r="E688">
        <v>5.1520000000000001</v>
      </c>
      <c r="F688" s="2">
        <v>3.9583333333333337E-3</v>
      </c>
      <c r="G688">
        <v>10.5</v>
      </c>
      <c r="H688">
        <v>11.86</v>
      </c>
      <c r="I688">
        <v>153</v>
      </c>
      <c r="J688">
        <v>133</v>
      </c>
      <c r="K688">
        <v>379</v>
      </c>
      <c r="L688" s="2">
        <v>3.7847222222222223E-3</v>
      </c>
      <c r="M688" s="2">
        <v>1.982638888888889E-2</v>
      </c>
      <c r="N688" s="2">
        <v>0</v>
      </c>
      <c r="O688" s="2">
        <v>0</v>
      </c>
      <c r="P688" s="2">
        <v>0</v>
      </c>
    </row>
    <row r="689" spans="1:16" x14ac:dyDescent="0.3">
      <c r="A689" s="1">
        <v>45128.214212962965</v>
      </c>
      <c r="B689" s="1">
        <v>45128.287106481483</v>
      </c>
      <c r="C689">
        <v>100.6</v>
      </c>
      <c r="D689" s="2">
        <v>6.9849537037037043E-2</v>
      </c>
      <c r="E689">
        <v>20.030999999999999</v>
      </c>
      <c r="F689" s="2">
        <v>3.483796296296296E-3</v>
      </c>
      <c r="G689">
        <v>11.95</v>
      </c>
      <c r="H689">
        <v>15.89</v>
      </c>
      <c r="I689">
        <v>171</v>
      </c>
      <c r="J689">
        <v>150</v>
      </c>
      <c r="K689">
        <v>1429</v>
      </c>
      <c r="L689" s="2">
        <v>3.1365740740740742E-3</v>
      </c>
      <c r="M689" s="2">
        <v>1.6562500000000001E-2</v>
      </c>
      <c r="N689" s="2">
        <v>3.3530092592592591E-2</v>
      </c>
      <c r="O689" s="2">
        <v>0</v>
      </c>
      <c r="P689" s="2">
        <v>0</v>
      </c>
    </row>
    <row r="690" spans="1:16" x14ac:dyDescent="0.3">
      <c r="A690" s="1">
        <v>45129.951909722222</v>
      </c>
      <c r="B690" s="1">
        <v>45129.987256944441</v>
      </c>
      <c r="C690">
        <v>50.9</v>
      </c>
      <c r="D690" s="2">
        <v>3.5335648148148151E-2</v>
      </c>
      <c r="E690">
        <v>9.1839999999999993</v>
      </c>
      <c r="F690" s="2">
        <v>3.8425925925925923E-3</v>
      </c>
      <c r="G690">
        <v>10.83</v>
      </c>
      <c r="H690">
        <v>12.56</v>
      </c>
      <c r="I690">
        <v>158</v>
      </c>
      <c r="J690">
        <v>141</v>
      </c>
      <c r="K690">
        <v>666</v>
      </c>
      <c r="L690" s="2">
        <v>3.7037037037037034E-3</v>
      </c>
      <c r="M690" s="2">
        <v>1.8981481481481481E-2</v>
      </c>
      <c r="N690" s="2">
        <v>0</v>
      </c>
      <c r="O690" s="2">
        <v>0</v>
      </c>
      <c r="P690" s="2">
        <v>0</v>
      </c>
    </row>
    <row r="691" spans="1:16" x14ac:dyDescent="0.3">
      <c r="A691" s="1">
        <v>45131.742962962962</v>
      </c>
      <c r="B691" s="1">
        <v>45131.778136574074</v>
      </c>
      <c r="C691">
        <v>46.6</v>
      </c>
      <c r="D691" s="2">
        <v>3.2361111111111111E-2</v>
      </c>
      <c r="E691">
        <v>10.273999999999999</v>
      </c>
      <c r="F691" s="2">
        <v>3.1481481481481482E-3</v>
      </c>
      <c r="G691">
        <v>13.23</v>
      </c>
      <c r="H691">
        <v>16.36</v>
      </c>
      <c r="I691">
        <v>177</v>
      </c>
      <c r="J691">
        <v>155</v>
      </c>
      <c r="K691">
        <v>714</v>
      </c>
      <c r="L691" s="2">
        <v>2.8935185185185188E-3</v>
      </c>
      <c r="M691" s="2">
        <v>1.4953703703703705E-2</v>
      </c>
      <c r="N691" s="2">
        <v>3.1284722222222221E-2</v>
      </c>
      <c r="O691" s="2">
        <v>0</v>
      </c>
      <c r="P691" s="2">
        <v>0</v>
      </c>
    </row>
    <row r="692" spans="1:16" x14ac:dyDescent="0.3">
      <c r="A692" s="1">
        <v>45132.904513888891</v>
      </c>
      <c r="B692" s="1">
        <v>45132.947581018518</v>
      </c>
      <c r="C692">
        <v>62.02</v>
      </c>
      <c r="D692" s="2">
        <v>4.3055555555555562E-2</v>
      </c>
      <c r="E692">
        <v>13.132999999999999</v>
      </c>
      <c r="F692" s="2">
        <v>3.2754629629629631E-3</v>
      </c>
      <c r="G692">
        <v>12.71</v>
      </c>
      <c r="H692">
        <v>15.08</v>
      </c>
      <c r="I692">
        <v>171</v>
      </c>
      <c r="J692">
        <v>154</v>
      </c>
      <c r="K692">
        <v>915</v>
      </c>
      <c r="L692" s="2">
        <v>2.9398148148148148E-3</v>
      </c>
      <c r="M692" s="2">
        <v>1.5601851851851851E-2</v>
      </c>
      <c r="N692" s="2">
        <v>3.2222222222222222E-2</v>
      </c>
      <c r="O692" s="2">
        <v>0</v>
      </c>
      <c r="P692" s="2">
        <v>0</v>
      </c>
    </row>
    <row r="693" spans="1:16" x14ac:dyDescent="0.3">
      <c r="A693" s="1">
        <v>45135.710694444446</v>
      </c>
      <c r="B693" s="1">
        <v>45135.748796296299</v>
      </c>
      <c r="C693">
        <v>54.87</v>
      </c>
      <c r="D693" s="2">
        <v>3.8101851851851852E-2</v>
      </c>
      <c r="E693">
        <v>11.111000000000001</v>
      </c>
      <c r="F693" s="2">
        <v>3.425925925925926E-3</v>
      </c>
      <c r="G693">
        <v>12.15</v>
      </c>
      <c r="H693">
        <v>14.31</v>
      </c>
      <c r="I693">
        <v>169</v>
      </c>
      <c r="J693">
        <v>153</v>
      </c>
      <c r="K693">
        <v>801</v>
      </c>
      <c r="L693" s="2">
        <v>3.1828703703703702E-3</v>
      </c>
      <c r="M693" s="2">
        <v>1.6782407407407409E-2</v>
      </c>
      <c r="N693" s="2">
        <v>3.4282407407407407E-2</v>
      </c>
      <c r="O693" s="2">
        <v>0</v>
      </c>
      <c r="P693" s="2">
        <v>0</v>
      </c>
    </row>
    <row r="694" spans="1:16" x14ac:dyDescent="0.3">
      <c r="A694" s="1">
        <v>45136.931168981479</v>
      </c>
      <c r="B694" s="1">
        <v>45136.974328703705</v>
      </c>
      <c r="C694">
        <v>62.15</v>
      </c>
      <c r="D694" s="2">
        <v>4.3148148148148151E-2</v>
      </c>
      <c r="E694">
        <v>12.502000000000001</v>
      </c>
      <c r="F694" s="2">
        <v>3.4490740740740745E-3</v>
      </c>
      <c r="G694">
        <v>12.07</v>
      </c>
      <c r="H694">
        <v>15.15</v>
      </c>
      <c r="I694">
        <v>174</v>
      </c>
      <c r="J694">
        <v>152</v>
      </c>
      <c r="K694">
        <v>886</v>
      </c>
      <c r="L694" s="2">
        <v>3.0902777777777782E-3</v>
      </c>
      <c r="M694" s="2">
        <v>1.6284722222222221E-2</v>
      </c>
      <c r="N694" s="2">
        <v>3.3993055555555561E-2</v>
      </c>
      <c r="O694" s="2">
        <v>0</v>
      </c>
      <c r="P694" s="2">
        <v>0</v>
      </c>
    </row>
    <row r="695" spans="1:16" x14ac:dyDescent="0.3">
      <c r="A695" s="1">
        <v>45138.744629629633</v>
      </c>
      <c r="B695" s="1">
        <v>45138.780405092592</v>
      </c>
      <c r="C695">
        <v>48.58</v>
      </c>
      <c r="D695" s="2">
        <v>3.3738425925925929E-2</v>
      </c>
      <c r="E695">
        <v>10.805</v>
      </c>
      <c r="F695" s="2">
        <v>3.1134259259259257E-3</v>
      </c>
      <c r="G695">
        <v>13.34</v>
      </c>
      <c r="H695">
        <v>16.86</v>
      </c>
      <c r="I695">
        <v>176</v>
      </c>
      <c r="J695">
        <v>158</v>
      </c>
      <c r="K695">
        <v>750</v>
      </c>
      <c r="L695" s="2">
        <v>2.8703703703703708E-3</v>
      </c>
      <c r="M695" s="2">
        <v>1.4918981481481483E-2</v>
      </c>
      <c r="N695" s="2">
        <v>3.0925925925925926E-2</v>
      </c>
      <c r="O695" s="2">
        <v>0</v>
      </c>
      <c r="P695" s="2">
        <v>0</v>
      </c>
    </row>
    <row r="696" spans="1:16" x14ac:dyDescent="0.3">
      <c r="A696" s="1">
        <v>45139.890960648147</v>
      </c>
      <c r="B696" s="1">
        <v>45139.936782407407</v>
      </c>
      <c r="C696">
        <v>65.98</v>
      </c>
      <c r="D696" s="2">
        <v>4.5821759259259263E-2</v>
      </c>
      <c r="E696">
        <v>13.393000000000001</v>
      </c>
      <c r="F696" s="2">
        <v>3.414351851851852E-3</v>
      </c>
      <c r="G696">
        <v>12.18</v>
      </c>
      <c r="H696">
        <v>14.71</v>
      </c>
      <c r="I696">
        <v>164</v>
      </c>
      <c r="J696">
        <v>148</v>
      </c>
      <c r="K696">
        <v>930</v>
      </c>
      <c r="L696" s="2">
        <v>3.1249999999999997E-3</v>
      </c>
      <c r="M696" s="2">
        <v>1.6724537037037034E-2</v>
      </c>
      <c r="N696" s="2">
        <v>3.3854166666666664E-2</v>
      </c>
      <c r="O696" s="2">
        <v>0</v>
      </c>
      <c r="P696" s="2">
        <v>0</v>
      </c>
    </row>
    <row r="697" spans="1:16" x14ac:dyDescent="0.3">
      <c r="A697" s="1">
        <v>45140.914201388892</v>
      </c>
      <c r="B697" s="1">
        <v>45140.941990740743</v>
      </c>
      <c r="C697">
        <v>40.020000000000003</v>
      </c>
      <c r="D697" s="2">
        <v>2.7777777777777776E-2</v>
      </c>
      <c r="E697">
        <v>7.5549999999999997</v>
      </c>
      <c r="F697" s="2">
        <v>3.6689814814814814E-3</v>
      </c>
      <c r="G697">
        <v>11.33</v>
      </c>
      <c r="H697">
        <v>12.09</v>
      </c>
      <c r="I697">
        <v>155</v>
      </c>
      <c r="J697">
        <v>138</v>
      </c>
      <c r="K697">
        <v>540</v>
      </c>
      <c r="L697" s="2">
        <v>3.5995370370370369E-3</v>
      </c>
      <c r="M697" s="2">
        <v>1.8310185185185186E-2</v>
      </c>
      <c r="N697" s="2">
        <v>0</v>
      </c>
      <c r="O697" s="2">
        <v>0</v>
      </c>
      <c r="P697" s="2">
        <v>0</v>
      </c>
    </row>
    <row r="698" spans="1:16" x14ac:dyDescent="0.3">
      <c r="A698" s="1">
        <v>45142.22388888889</v>
      </c>
      <c r="B698" s="1">
        <v>45142.308310185188</v>
      </c>
      <c r="C698">
        <v>112.47</v>
      </c>
      <c r="D698" s="2">
        <v>7.8101851851851853E-2</v>
      </c>
      <c r="E698">
        <v>24.202999999999999</v>
      </c>
      <c r="F698" s="2">
        <v>3.2175925925925926E-3</v>
      </c>
      <c r="G698">
        <v>12.91</v>
      </c>
      <c r="H698">
        <v>16.16</v>
      </c>
      <c r="I698">
        <v>180</v>
      </c>
      <c r="J698">
        <v>153</v>
      </c>
      <c r="K698">
        <v>1681</v>
      </c>
      <c r="L698" s="2">
        <v>2.7662037037037034E-3</v>
      </c>
      <c r="M698" s="2">
        <v>1.4166666666666666E-2</v>
      </c>
      <c r="N698" s="2">
        <v>2.9074074074074075E-2</v>
      </c>
      <c r="O698" s="2">
        <v>6.671296296296296E-2</v>
      </c>
      <c r="P698" s="2">
        <v>0</v>
      </c>
    </row>
    <row r="699" spans="1:16" x14ac:dyDescent="0.3">
      <c r="A699" s="1">
        <v>45143.945011574076</v>
      </c>
      <c r="B699" s="1">
        <v>45144.001203703701</v>
      </c>
      <c r="C699">
        <v>80.92</v>
      </c>
      <c r="D699" s="2">
        <v>5.6192129629629634E-2</v>
      </c>
      <c r="E699">
        <v>15.505000000000001</v>
      </c>
      <c r="F699" s="2">
        <v>3.6226851851851854E-3</v>
      </c>
      <c r="G699">
        <v>11.5</v>
      </c>
      <c r="H699">
        <v>14.61</v>
      </c>
      <c r="I699">
        <v>167</v>
      </c>
      <c r="J699">
        <v>147</v>
      </c>
      <c r="K699">
        <v>1102</v>
      </c>
      <c r="L699" s="2">
        <v>3.1481481481481482E-3</v>
      </c>
      <c r="M699" s="2">
        <v>1.7071759259259259E-2</v>
      </c>
      <c r="N699" s="2">
        <v>3.5312500000000004E-2</v>
      </c>
      <c r="O699" s="2">
        <v>0</v>
      </c>
      <c r="P699" s="2">
        <v>0</v>
      </c>
    </row>
    <row r="700" spans="1:16" x14ac:dyDescent="0.3">
      <c r="A700" s="1">
        <v>45145.735069444447</v>
      </c>
      <c r="B700" s="1">
        <v>45145.783935185187</v>
      </c>
      <c r="C700">
        <v>63.63</v>
      </c>
      <c r="D700" s="2">
        <v>4.4178240740740747E-2</v>
      </c>
      <c r="E700">
        <v>13.298999999999999</v>
      </c>
      <c r="F700" s="2">
        <v>3.3217592592592591E-3</v>
      </c>
      <c r="G700">
        <v>12.54</v>
      </c>
      <c r="H700">
        <v>16.39</v>
      </c>
      <c r="I700">
        <v>179</v>
      </c>
      <c r="J700">
        <v>153</v>
      </c>
      <c r="K700">
        <v>927</v>
      </c>
      <c r="L700" s="2">
        <v>2.9745370370370373E-3</v>
      </c>
      <c r="M700" s="2">
        <v>1.5266203703703705E-2</v>
      </c>
      <c r="N700" s="2">
        <v>3.2083333333333332E-2</v>
      </c>
      <c r="O700" s="2">
        <v>0</v>
      </c>
      <c r="P700" s="2">
        <v>0</v>
      </c>
    </row>
    <row r="701" spans="1:16" x14ac:dyDescent="0.3">
      <c r="A701" s="1">
        <v>45146.91679398148</v>
      </c>
      <c r="B701" s="1">
        <v>45146.961030092592</v>
      </c>
      <c r="C701">
        <v>63.7</v>
      </c>
      <c r="D701" s="2">
        <v>4.4236111111111115E-2</v>
      </c>
      <c r="E701">
        <v>12.545</v>
      </c>
      <c r="F701" s="2">
        <v>3.5185185185185185E-3</v>
      </c>
      <c r="G701">
        <v>11.82</v>
      </c>
      <c r="H701">
        <v>14.64</v>
      </c>
      <c r="I701">
        <v>158</v>
      </c>
      <c r="J701">
        <v>138</v>
      </c>
      <c r="K701">
        <v>883</v>
      </c>
      <c r="L701" s="2">
        <v>3.1481481481481482E-3</v>
      </c>
      <c r="M701" s="2">
        <v>1.6840277777777777E-2</v>
      </c>
      <c r="N701" s="2">
        <v>3.4965277777777783E-2</v>
      </c>
      <c r="O701" s="2">
        <v>0</v>
      </c>
      <c r="P701" s="2">
        <v>0</v>
      </c>
    </row>
    <row r="702" spans="1:16" x14ac:dyDescent="0.3">
      <c r="A702" s="1">
        <v>45149.229629629626</v>
      </c>
      <c r="B702" s="1">
        <v>45149.320833333331</v>
      </c>
      <c r="C702">
        <v>128.38</v>
      </c>
      <c r="D702" s="2">
        <v>8.9143518518518525E-2</v>
      </c>
      <c r="E702">
        <v>26.204999999999998</v>
      </c>
      <c r="F702" s="2">
        <v>3.3912037037037036E-3</v>
      </c>
      <c r="G702">
        <v>12.25</v>
      </c>
      <c r="H702">
        <v>14.31</v>
      </c>
      <c r="I702">
        <v>167</v>
      </c>
      <c r="J702">
        <v>153</v>
      </c>
      <c r="K702">
        <v>1816</v>
      </c>
      <c r="L702" s="2">
        <v>3.0902777777777782E-3</v>
      </c>
      <c r="M702" s="2">
        <v>1.5648148148148151E-2</v>
      </c>
      <c r="N702" s="2">
        <v>3.2627314814814817E-2</v>
      </c>
      <c r="O702" s="2">
        <v>7.0636574074074074E-2</v>
      </c>
      <c r="P702" s="2">
        <v>0</v>
      </c>
    </row>
    <row r="703" spans="1:16" x14ac:dyDescent="0.3">
      <c r="A703" s="1">
        <v>45150.950983796298</v>
      </c>
      <c r="B703" s="1">
        <v>45151.006967592592</v>
      </c>
      <c r="C703">
        <v>80.62</v>
      </c>
      <c r="D703" s="2">
        <v>5.5972222222222222E-2</v>
      </c>
      <c r="E703">
        <v>16.100999999999999</v>
      </c>
      <c r="F703" s="2">
        <v>3.472222222222222E-3</v>
      </c>
      <c r="G703">
        <v>11.98</v>
      </c>
      <c r="H703">
        <v>14.75</v>
      </c>
      <c r="I703">
        <v>171</v>
      </c>
      <c r="J703">
        <v>150</v>
      </c>
      <c r="K703">
        <v>1122</v>
      </c>
      <c r="L703" s="2">
        <v>2.9513888888888888E-3</v>
      </c>
      <c r="M703" s="2">
        <v>1.6747685185185185E-2</v>
      </c>
      <c r="N703" s="2">
        <v>3.380787037037037E-2</v>
      </c>
      <c r="O703" s="2">
        <v>0</v>
      </c>
      <c r="P703" s="2">
        <v>0</v>
      </c>
    </row>
    <row r="704" spans="1:16" x14ac:dyDescent="0.3">
      <c r="A704" s="1">
        <v>45152.742997685185</v>
      </c>
      <c r="B704" s="1">
        <v>45152.779513888891</v>
      </c>
      <c r="C704">
        <v>50.02</v>
      </c>
      <c r="D704" s="2">
        <v>3.4722222222222224E-2</v>
      </c>
      <c r="E704">
        <v>11.215</v>
      </c>
      <c r="F704" s="2">
        <v>3.0902777777777782E-3</v>
      </c>
      <c r="G704">
        <v>13.45</v>
      </c>
      <c r="H704">
        <v>16.829999999999998</v>
      </c>
      <c r="I704">
        <v>178</v>
      </c>
      <c r="J704">
        <v>155</v>
      </c>
      <c r="K704">
        <v>765</v>
      </c>
      <c r="L704" s="2">
        <v>2.8009259259259259E-3</v>
      </c>
      <c r="M704" s="2">
        <v>1.4849537037037036E-2</v>
      </c>
      <c r="N704" s="2">
        <v>3.037037037037037E-2</v>
      </c>
      <c r="O704" s="2">
        <v>0</v>
      </c>
      <c r="P704" s="2">
        <v>0</v>
      </c>
    </row>
    <row r="705" spans="1:16" x14ac:dyDescent="0.3">
      <c r="A705" s="1">
        <v>45153.915613425925</v>
      </c>
      <c r="B705" s="1">
        <v>45153.954398148147</v>
      </c>
      <c r="C705">
        <v>55.43</v>
      </c>
      <c r="D705" s="2">
        <v>3.8483796296296294E-2</v>
      </c>
      <c r="E705">
        <v>10.449</v>
      </c>
      <c r="F705" s="2">
        <v>3.6805555555555554E-3</v>
      </c>
      <c r="G705">
        <v>11.31</v>
      </c>
      <c r="H705">
        <v>13.71</v>
      </c>
      <c r="I705">
        <v>163</v>
      </c>
      <c r="J705">
        <v>145</v>
      </c>
      <c r="K705">
        <v>740</v>
      </c>
      <c r="L705" s="2">
        <v>3.3449074074074071E-3</v>
      </c>
      <c r="M705" s="2">
        <v>1.818287037037037E-2</v>
      </c>
      <c r="N705" s="2">
        <v>3.6863425925925931E-2</v>
      </c>
      <c r="O705" s="2">
        <v>0</v>
      </c>
      <c r="P705" s="2">
        <v>0</v>
      </c>
    </row>
    <row r="706" spans="1:16" x14ac:dyDescent="0.3">
      <c r="A706" s="1">
        <v>45156.280497685184</v>
      </c>
      <c r="B706" s="1">
        <v>45156.362326388888</v>
      </c>
      <c r="C706">
        <v>114.23</v>
      </c>
      <c r="D706" s="2">
        <v>7.9328703703703707E-2</v>
      </c>
      <c r="E706">
        <v>22.222000000000001</v>
      </c>
      <c r="F706" s="2">
        <v>3.5648148148148154E-3</v>
      </c>
      <c r="G706">
        <v>11.67</v>
      </c>
      <c r="H706">
        <v>13.87</v>
      </c>
      <c r="I706">
        <v>168</v>
      </c>
      <c r="J706">
        <v>147</v>
      </c>
      <c r="K706">
        <v>1534</v>
      </c>
      <c r="L706" s="2">
        <v>3.1134259259259257E-3</v>
      </c>
      <c r="M706" s="2">
        <v>1.638888888888889E-2</v>
      </c>
      <c r="N706" s="2">
        <v>3.4374999999999996E-2</v>
      </c>
      <c r="O706" s="2">
        <v>7.4988425925925931E-2</v>
      </c>
      <c r="P706" s="2">
        <v>0</v>
      </c>
    </row>
    <row r="707" spans="1:16" x14ac:dyDescent="0.3">
      <c r="A707" s="1">
        <v>45157.89329861111</v>
      </c>
      <c r="B707" s="1">
        <v>45157.935243055559</v>
      </c>
      <c r="C707">
        <v>60.02</v>
      </c>
      <c r="D707" s="2">
        <v>4.1666666666666664E-2</v>
      </c>
      <c r="E707">
        <v>11.247999999999999</v>
      </c>
      <c r="F707" s="2">
        <v>3.7037037037037034E-3</v>
      </c>
      <c r="G707">
        <v>11.24</v>
      </c>
      <c r="H707">
        <v>13.81</v>
      </c>
      <c r="I707">
        <v>159</v>
      </c>
      <c r="J707">
        <v>143</v>
      </c>
      <c r="K707">
        <v>795</v>
      </c>
      <c r="L707" s="2">
        <v>3.2638888888888891E-3</v>
      </c>
      <c r="M707" s="2">
        <v>1.8032407407407407E-2</v>
      </c>
      <c r="N707" s="2">
        <v>3.6898148148148145E-2</v>
      </c>
      <c r="O707" s="2">
        <v>0</v>
      </c>
      <c r="P707" s="2">
        <v>0</v>
      </c>
    </row>
    <row r="708" spans="1:16" x14ac:dyDescent="0.3">
      <c r="A708" s="1">
        <v>45158.293738425928</v>
      </c>
      <c r="B708" s="1">
        <v>45158.311840277776</v>
      </c>
      <c r="C708">
        <v>26.07</v>
      </c>
      <c r="D708" s="2">
        <v>1.8090277777777778E-2</v>
      </c>
      <c r="E708">
        <v>5.5119999999999996</v>
      </c>
      <c r="F708" s="2">
        <v>3.2754629629629631E-3</v>
      </c>
      <c r="G708">
        <v>12.69</v>
      </c>
      <c r="H708">
        <v>14.71</v>
      </c>
      <c r="I708">
        <v>166</v>
      </c>
      <c r="J708">
        <v>150</v>
      </c>
      <c r="K708">
        <v>378</v>
      </c>
      <c r="L708" s="2">
        <v>2.8935185185185188E-3</v>
      </c>
      <c r="M708" s="2">
        <v>1.6076388888888887E-2</v>
      </c>
      <c r="N708" s="2">
        <v>0</v>
      </c>
      <c r="O708" s="2">
        <v>0</v>
      </c>
      <c r="P708" s="2">
        <v>0</v>
      </c>
    </row>
    <row r="709" spans="1:16" x14ac:dyDescent="0.3">
      <c r="A709" s="1">
        <v>45159.956608796296</v>
      </c>
      <c r="B709" s="1">
        <v>45159.997870370367</v>
      </c>
      <c r="C709">
        <v>59.1</v>
      </c>
      <c r="D709" s="2">
        <v>4.1041666666666664E-2</v>
      </c>
      <c r="E709">
        <v>13.505000000000001</v>
      </c>
      <c r="F709" s="2">
        <v>3.0324074074074073E-3</v>
      </c>
      <c r="G709">
        <v>13.71</v>
      </c>
      <c r="H709">
        <v>16.43</v>
      </c>
      <c r="I709">
        <v>172</v>
      </c>
      <c r="J709">
        <v>157</v>
      </c>
      <c r="K709">
        <v>919</v>
      </c>
      <c r="L709" s="2">
        <v>2.685185185185185E-3</v>
      </c>
      <c r="M709" s="2">
        <v>1.4467592592592593E-2</v>
      </c>
      <c r="N709" s="2">
        <v>2.9513888888888892E-2</v>
      </c>
      <c r="O709" s="2">
        <v>0</v>
      </c>
      <c r="P709" s="2">
        <v>0</v>
      </c>
    </row>
    <row r="710" spans="1:16" x14ac:dyDescent="0.3">
      <c r="A710" s="1">
        <v>45160.879027777781</v>
      </c>
      <c r="B710" s="1">
        <v>45160.921967592592</v>
      </c>
      <c r="C710">
        <v>61.22</v>
      </c>
      <c r="D710" s="2">
        <v>4.2511574074074077E-2</v>
      </c>
      <c r="E710">
        <v>11.253</v>
      </c>
      <c r="F710" s="2">
        <v>3.7731481481481483E-3</v>
      </c>
      <c r="G710">
        <v>11.03</v>
      </c>
      <c r="H710">
        <v>13.13</v>
      </c>
      <c r="I710">
        <v>158</v>
      </c>
      <c r="J710">
        <v>143</v>
      </c>
      <c r="K710">
        <v>785</v>
      </c>
      <c r="L710" s="2">
        <v>3.6111111111111114E-3</v>
      </c>
      <c r="M710" s="2">
        <v>1.8530092592592595E-2</v>
      </c>
      <c r="N710" s="2">
        <v>3.7650462962962962E-2</v>
      </c>
      <c r="O710" s="2">
        <v>0</v>
      </c>
      <c r="P710" s="2">
        <v>0</v>
      </c>
    </row>
    <row r="711" spans="1:16" x14ac:dyDescent="0.3">
      <c r="A711" s="1">
        <v>45163.21634259259</v>
      </c>
      <c r="B711" s="1">
        <v>45163.304363425923</v>
      </c>
      <c r="C711">
        <v>113.87</v>
      </c>
      <c r="D711" s="2">
        <v>7.9062499999999994E-2</v>
      </c>
      <c r="E711">
        <v>21.215</v>
      </c>
      <c r="F711" s="2">
        <v>3.7268518518518514E-3</v>
      </c>
      <c r="G711">
        <v>11.18</v>
      </c>
      <c r="H711">
        <v>13.23</v>
      </c>
      <c r="I711">
        <v>164</v>
      </c>
      <c r="J711">
        <v>142</v>
      </c>
      <c r="K711">
        <v>1482</v>
      </c>
      <c r="L711" s="2">
        <v>3.4027777777777784E-3</v>
      </c>
      <c r="M711" s="2">
        <v>1.7476851851851851E-2</v>
      </c>
      <c r="N711" s="2">
        <v>3.5659722222222225E-2</v>
      </c>
      <c r="O711" s="2">
        <v>7.8611111111111118E-2</v>
      </c>
      <c r="P711" s="2">
        <v>0</v>
      </c>
    </row>
    <row r="712" spans="1:16" x14ac:dyDescent="0.3">
      <c r="A712" s="1">
        <v>45164.892141203702</v>
      </c>
      <c r="B712" s="1">
        <v>45164.929861111108</v>
      </c>
      <c r="C712">
        <v>54.32</v>
      </c>
      <c r="D712" s="2">
        <v>3.771990740740741E-2</v>
      </c>
      <c r="E712">
        <v>11.111000000000001</v>
      </c>
      <c r="F712" s="2">
        <v>3.3912037037037036E-3</v>
      </c>
      <c r="G712">
        <v>12.27</v>
      </c>
      <c r="H712">
        <v>16.09</v>
      </c>
      <c r="I712">
        <v>176</v>
      </c>
      <c r="J712">
        <v>149</v>
      </c>
      <c r="K712">
        <v>795</v>
      </c>
      <c r="L712" s="2">
        <v>2.9745370370370373E-3</v>
      </c>
      <c r="M712" s="2">
        <v>1.5949074074074074E-2</v>
      </c>
      <c r="N712" s="2">
        <v>3.3657407407407407E-2</v>
      </c>
      <c r="O712" s="2">
        <v>0</v>
      </c>
      <c r="P712" s="2">
        <v>0</v>
      </c>
    </row>
    <row r="713" spans="1:16" x14ac:dyDescent="0.3">
      <c r="A713" s="1">
        <v>45166.742696759262</v>
      </c>
      <c r="B713" s="1">
        <v>45166.783425925925</v>
      </c>
      <c r="C713">
        <v>56.28</v>
      </c>
      <c r="D713" s="2">
        <v>3.9074074074074074E-2</v>
      </c>
      <c r="E713">
        <v>12.754</v>
      </c>
      <c r="F713" s="2">
        <v>3.0555555555555557E-3</v>
      </c>
      <c r="G713">
        <v>13.6</v>
      </c>
      <c r="H713">
        <v>16.329999999999998</v>
      </c>
      <c r="I713">
        <v>185</v>
      </c>
      <c r="J713">
        <v>158</v>
      </c>
      <c r="K713">
        <v>867</v>
      </c>
      <c r="L713" s="2">
        <v>2.7314814814814819E-3</v>
      </c>
      <c r="M713" s="2">
        <v>1.4548611111111111E-2</v>
      </c>
      <c r="N713" s="2">
        <v>2.9803240740740741E-2</v>
      </c>
      <c r="O713" s="2">
        <v>0</v>
      </c>
      <c r="P713" s="2">
        <v>0</v>
      </c>
    </row>
    <row r="714" spans="1:16" x14ac:dyDescent="0.3">
      <c r="A714" s="1">
        <v>45167.953206018516</v>
      </c>
      <c r="B714" s="1">
        <v>45167.994872685187</v>
      </c>
      <c r="C714">
        <v>60</v>
      </c>
      <c r="D714" s="2">
        <v>4.1666666666666664E-2</v>
      </c>
      <c r="E714">
        <v>13.074999999999999</v>
      </c>
      <c r="F714" s="2">
        <v>3.1828703703703702E-3</v>
      </c>
      <c r="G714">
        <v>13.08</v>
      </c>
      <c r="H714">
        <v>15.15</v>
      </c>
      <c r="I714">
        <v>179</v>
      </c>
      <c r="J714">
        <v>158</v>
      </c>
      <c r="K714">
        <v>917</v>
      </c>
      <c r="L714" s="2">
        <v>3.0208333333333333E-3</v>
      </c>
      <c r="M714" s="2">
        <v>1.5601851851851851E-2</v>
      </c>
      <c r="N714" s="2">
        <v>3.1574074074074074E-2</v>
      </c>
      <c r="O714" s="2">
        <v>0</v>
      </c>
      <c r="P714" s="2">
        <v>0</v>
      </c>
    </row>
    <row r="715" spans="1:16" x14ac:dyDescent="0.3">
      <c r="A715" s="1">
        <v>45169.995752314811</v>
      </c>
      <c r="B715" s="1">
        <v>45170.052523148152</v>
      </c>
      <c r="C715">
        <v>81.25</v>
      </c>
      <c r="D715" s="2">
        <v>5.6423611111111112E-2</v>
      </c>
      <c r="E715">
        <v>15.151999999999999</v>
      </c>
      <c r="F715" s="2">
        <v>3.7152777777777774E-3</v>
      </c>
      <c r="G715">
        <v>11.19</v>
      </c>
      <c r="H715">
        <v>12.93</v>
      </c>
      <c r="I715">
        <v>163</v>
      </c>
      <c r="J715">
        <v>146</v>
      </c>
      <c r="K715">
        <v>1077</v>
      </c>
      <c r="L715" s="2">
        <v>3.5879629629629629E-3</v>
      </c>
      <c r="M715" s="2">
        <v>1.8124999999999999E-2</v>
      </c>
      <c r="N715" s="2">
        <v>3.6770833333333336E-2</v>
      </c>
      <c r="O715" s="2">
        <v>0</v>
      </c>
      <c r="P715" s="2">
        <v>0</v>
      </c>
    </row>
    <row r="716" spans="1:16" x14ac:dyDescent="0.3">
      <c r="A716" s="1">
        <v>45171.981666666667</v>
      </c>
      <c r="B716" s="1">
        <v>45172.053946759261</v>
      </c>
      <c r="C716">
        <v>104.08</v>
      </c>
      <c r="D716" s="2">
        <v>7.2268518518518524E-2</v>
      </c>
      <c r="E716">
        <v>20.055</v>
      </c>
      <c r="F716" s="2">
        <v>3.5995370370370369E-3</v>
      </c>
      <c r="G716">
        <v>11.56</v>
      </c>
      <c r="H716">
        <v>14.18</v>
      </c>
      <c r="I716">
        <v>168</v>
      </c>
      <c r="J716">
        <v>150</v>
      </c>
      <c r="K716">
        <v>1419</v>
      </c>
      <c r="L716" s="2">
        <v>3.2870370370370367E-3</v>
      </c>
      <c r="M716" s="2">
        <v>1.7499999999999998E-2</v>
      </c>
      <c r="N716" s="2">
        <v>3.5694444444444445E-2</v>
      </c>
      <c r="O716" s="2">
        <v>0</v>
      </c>
      <c r="P716" s="2">
        <v>0</v>
      </c>
    </row>
    <row r="717" spans="1:16" x14ac:dyDescent="0.3">
      <c r="A717" s="1">
        <v>45173.992430555554</v>
      </c>
      <c r="B717" s="1">
        <v>45174.023182870369</v>
      </c>
      <c r="C717">
        <v>44.02</v>
      </c>
      <c r="D717" s="2">
        <v>3.0555555555555555E-2</v>
      </c>
      <c r="E717">
        <v>10.308</v>
      </c>
      <c r="F717" s="2">
        <v>2.9629629629629628E-3</v>
      </c>
      <c r="G717">
        <v>14.05</v>
      </c>
      <c r="H717">
        <v>15.89</v>
      </c>
      <c r="I717">
        <v>177</v>
      </c>
      <c r="J717">
        <v>160</v>
      </c>
      <c r="K717">
        <v>693</v>
      </c>
      <c r="L717" s="2">
        <v>2.7777777777777779E-3</v>
      </c>
      <c r="M717" s="2">
        <v>1.4490740740740742E-2</v>
      </c>
      <c r="N717" s="2">
        <v>2.9641203703703701E-2</v>
      </c>
      <c r="O717" s="2">
        <v>0</v>
      </c>
      <c r="P717" s="2">
        <v>0</v>
      </c>
    </row>
    <row r="718" spans="1:16" x14ac:dyDescent="0.3">
      <c r="A718" s="1">
        <v>45174.026307870372</v>
      </c>
      <c r="B718" s="1">
        <v>45174.037048611113</v>
      </c>
      <c r="C718">
        <v>15.48</v>
      </c>
      <c r="D718" s="2">
        <v>1.074074074074074E-2</v>
      </c>
      <c r="E718">
        <v>3.0190000000000001</v>
      </c>
      <c r="F718" s="2">
        <v>3.5532407407407405E-3</v>
      </c>
      <c r="G718">
        <v>11.7</v>
      </c>
      <c r="H718">
        <v>12.93</v>
      </c>
      <c r="I718">
        <v>152</v>
      </c>
      <c r="J718">
        <v>140</v>
      </c>
      <c r="K718">
        <v>210</v>
      </c>
      <c r="L718" s="2">
        <v>3.414351851851852E-3</v>
      </c>
      <c r="M718" s="2">
        <v>0</v>
      </c>
      <c r="N718" s="2">
        <v>0</v>
      </c>
      <c r="O718" s="2">
        <v>0</v>
      </c>
      <c r="P718" s="2">
        <v>0</v>
      </c>
    </row>
    <row r="719" spans="1:16" x14ac:dyDescent="0.3">
      <c r="A719" s="1">
        <v>45174.897870370369</v>
      </c>
      <c r="B719" s="1">
        <v>45174.941192129627</v>
      </c>
      <c r="C719">
        <v>61.83</v>
      </c>
      <c r="D719" s="2">
        <v>4.2939814814814813E-2</v>
      </c>
      <c r="E719">
        <v>13.105</v>
      </c>
      <c r="F719" s="2">
        <v>3.2754629629629631E-3</v>
      </c>
      <c r="G719">
        <v>12.72</v>
      </c>
      <c r="H719">
        <v>15.45</v>
      </c>
      <c r="I719">
        <v>170</v>
      </c>
      <c r="J719">
        <v>150</v>
      </c>
      <c r="K719">
        <v>896</v>
      </c>
      <c r="L719" s="2">
        <v>2.9513888888888888E-3</v>
      </c>
      <c r="M719" s="2">
        <v>1.5821759259259261E-2</v>
      </c>
      <c r="N719" s="2">
        <v>3.2175925925925927E-2</v>
      </c>
      <c r="O719" s="2">
        <v>0</v>
      </c>
      <c r="P719" s="2">
        <v>0</v>
      </c>
    </row>
    <row r="720" spans="1:16" x14ac:dyDescent="0.3">
      <c r="A720" s="1">
        <v>45176.701226851852</v>
      </c>
      <c r="B720" s="1">
        <v>45176.734953703701</v>
      </c>
      <c r="C720">
        <v>48.57</v>
      </c>
      <c r="D720" s="2">
        <v>3.3726851851851855E-2</v>
      </c>
      <c r="E720">
        <v>10.239000000000001</v>
      </c>
      <c r="F720" s="2">
        <v>3.2986111111111111E-3</v>
      </c>
      <c r="G720">
        <v>12.6</v>
      </c>
      <c r="H720">
        <v>16.09</v>
      </c>
      <c r="I720">
        <v>174</v>
      </c>
      <c r="J720">
        <v>151</v>
      </c>
      <c r="K720">
        <v>809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</row>
    <row r="721" spans="1:16" x14ac:dyDescent="0.3">
      <c r="A721" s="1">
        <v>45178.885138888887</v>
      </c>
      <c r="B721" s="1">
        <v>45178.969027777777</v>
      </c>
      <c r="C721">
        <v>120.02</v>
      </c>
      <c r="D721" s="2">
        <v>8.3333333333333329E-2</v>
      </c>
      <c r="E721">
        <v>23.167000000000002</v>
      </c>
      <c r="F721" s="2">
        <v>3.5879629629629629E-3</v>
      </c>
      <c r="G721">
        <v>11.58</v>
      </c>
      <c r="H721">
        <v>13.6</v>
      </c>
      <c r="I721">
        <v>164</v>
      </c>
      <c r="J721">
        <v>145</v>
      </c>
      <c r="K721">
        <v>1584</v>
      </c>
      <c r="L721" s="2">
        <v>3.1712962962962958E-3</v>
      </c>
      <c r="M721" s="2">
        <v>1.7106481481481483E-2</v>
      </c>
      <c r="N721" s="2">
        <v>3.5520833333333328E-2</v>
      </c>
      <c r="O721" s="2">
        <v>7.5891203703703711E-2</v>
      </c>
      <c r="P721" s="2">
        <v>0</v>
      </c>
    </row>
    <row r="722" spans="1:16" x14ac:dyDescent="0.3">
      <c r="A722" s="1">
        <v>45180.743726851855</v>
      </c>
      <c r="B722" s="1">
        <v>45180.786759259259</v>
      </c>
      <c r="C722">
        <v>60</v>
      </c>
      <c r="D722" s="2">
        <v>4.1666666666666664E-2</v>
      </c>
      <c r="E722">
        <v>13.115</v>
      </c>
      <c r="F722" s="2">
        <v>3.1712962962962958E-3</v>
      </c>
      <c r="G722">
        <v>13.12</v>
      </c>
      <c r="H722">
        <v>15.35</v>
      </c>
      <c r="I722">
        <v>186</v>
      </c>
      <c r="J722">
        <v>157</v>
      </c>
      <c r="K722">
        <v>905</v>
      </c>
      <c r="L722" s="2">
        <v>2.8356481481481479E-3</v>
      </c>
      <c r="M722" s="2">
        <v>1.5335648148148147E-2</v>
      </c>
      <c r="N722" s="2">
        <v>3.107638888888889E-2</v>
      </c>
      <c r="O722" s="2">
        <v>0</v>
      </c>
      <c r="P722" s="2">
        <v>0</v>
      </c>
    </row>
    <row r="723" spans="1:16" x14ac:dyDescent="0.3">
      <c r="A723" s="1">
        <v>45182.75540509259</v>
      </c>
      <c r="B723" s="1">
        <v>45182.794166666667</v>
      </c>
      <c r="C723">
        <v>55.82</v>
      </c>
      <c r="D723" s="2">
        <v>3.876157407407408E-2</v>
      </c>
      <c r="E723">
        <v>12.053000000000001</v>
      </c>
      <c r="F723" s="2">
        <v>3.2060185185185191E-3</v>
      </c>
      <c r="G723">
        <v>12.96</v>
      </c>
      <c r="H723">
        <v>15.62</v>
      </c>
      <c r="I723">
        <v>176</v>
      </c>
      <c r="J723">
        <v>159</v>
      </c>
      <c r="K723">
        <v>840</v>
      </c>
      <c r="L723" s="2">
        <v>2.7430555555555559E-3</v>
      </c>
      <c r="M723" s="2">
        <v>1.5243055555555557E-2</v>
      </c>
      <c r="N723" s="2">
        <v>3.1851851851851853E-2</v>
      </c>
      <c r="O723" s="2">
        <v>0</v>
      </c>
      <c r="P723" s="2">
        <v>0</v>
      </c>
    </row>
    <row r="724" spans="1:16" x14ac:dyDescent="0.3">
      <c r="A724" s="1">
        <v>45183.933194444442</v>
      </c>
      <c r="B724" s="1">
        <v>45183.974293981482</v>
      </c>
      <c r="C724">
        <v>58.73</v>
      </c>
      <c r="D724" s="2">
        <v>4.0787037037037038E-2</v>
      </c>
      <c r="E724">
        <v>11.116</v>
      </c>
      <c r="F724" s="2">
        <v>3.6689814814814814E-3</v>
      </c>
      <c r="G724">
        <v>11.36</v>
      </c>
      <c r="H724">
        <v>14.11</v>
      </c>
      <c r="I724">
        <v>148</v>
      </c>
      <c r="J724">
        <v>137</v>
      </c>
      <c r="K724">
        <v>751</v>
      </c>
      <c r="L724" s="2">
        <v>3.530092592592592E-3</v>
      </c>
      <c r="M724" s="2">
        <v>1.8043981481481484E-2</v>
      </c>
      <c r="N724" s="2">
        <v>3.6620370370370373E-2</v>
      </c>
      <c r="O724" s="2">
        <v>0</v>
      </c>
      <c r="P724" s="2">
        <v>0</v>
      </c>
    </row>
    <row r="725" spans="1:16" x14ac:dyDescent="0.3">
      <c r="A725" s="1">
        <v>45186.889155092591</v>
      </c>
      <c r="B725" s="1">
        <v>45186.944768518515</v>
      </c>
      <c r="C725">
        <v>79.599999999999994</v>
      </c>
      <c r="D725" s="2">
        <v>5.5266203703703699E-2</v>
      </c>
      <c r="E725">
        <v>15.097</v>
      </c>
      <c r="F725" s="2">
        <v>3.6574074074074074E-3</v>
      </c>
      <c r="G725">
        <v>11.38</v>
      </c>
      <c r="H725">
        <v>13.5</v>
      </c>
      <c r="I725">
        <v>170</v>
      </c>
      <c r="J725">
        <v>154</v>
      </c>
      <c r="K725">
        <v>1077</v>
      </c>
      <c r="L725" s="2">
        <v>3.1828703703703702E-3</v>
      </c>
      <c r="M725" s="2">
        <v>1.7777777777777778E-2</v>
      </c>
      <c r="N725" s="2">
        <v>3.6354166666666667E-2</v>
      </c>
      <c r="O725" s="2">
        <v>0</v>
      </c>
      <c r="P725" s="2">
        <v>0</v>
      </c>
    </row>
    <row r="726" spans="1:16" x14ac:dyDescent="0.3">
      <c r="A726" s="1">
        <v>45187.904895833337</v>
      </c>
      <c r="B726" s="1">
        <v>45187.942777777775</v>
      </c>
      <c r="C726">
        <v>54.4</v>
      </c>
      <c r="D726" s="2">
        <v>3.7766203703703705E-2</v>
      </c>
      <c r="E726">
        <v>10.548999999999999</v>
      </c>
      <c r="F726" s="2">
        <v>3.5763888888888894E-3</v>
      </c>
      <c r="G726">
        <v>11.63</v>
      </c>
      <c r="H726">
        <v>13.47</v>
      </c>
      <c r="I726">
        <v>156</v>
      </c>
      <c r="J726">
        <v>140</v>
      </c>
      <c r="K726">
        <v>730</v>
      </c>
      <c r="L726" s="2">
        <v>3.3680555555555551E-3</v>
      </c>
      <c r="M726" s="2">
        <v>1.7534722222222222E-2</v>
      </c>
      <c r="N726" s="2">
        <v>3.5787037037037034E-2</v>
      </c>
      <c r="O726" s="2">
        <v>0</v>
      </c>
      <c r="P726" s="2">
        <v>0</v>
      </c>
    </row>
    <row r="727" spans="1:16" x14ac:dyDescent="0.3">
      <c r="A727" s="1">
        <v>45189.758009259262</v>
      </c>
      <c r="B727" s="1">
        <v>45189.800694444442</v>
      </c>
      <c r="C727">
        <v>50.05</v>
      </c>
      <c r="D727" s="2">
        <v>3.4745370370370371E-2</v>
      </c>
      <c r="E727">
        <v>10.170999999999999</v>
      </c>
      <c r="F727" s="2">
        <v>3.414351851851852E-3</v>
      </c>
      <c r="G727">
        <v>12.19</v>
      </c>
      <c r="H727">
        <v>17.2</v>
      </c>
      <c r="I727">
        <v>166</v>
      </c>
      <c r="J727">
        <v>147</v>
      </c>
      <c r="K727">
        <v>702</v>
      </c>
      <c r="L727" s="2">
        <v>2.8935185185185188E-3</v>
      </c>
      <c r="M727" s="2">
        <v>1.6689814814814817E-2</v>
      </c>
      <c r="N727" s="2">
        <v>3.4201388888888885E-2</v>
      </c>
      <c r="O727" s="2">
        <v>0</v>
      </c>
      <c r="P727" s="2">
        <v>0</v>
      </c>
    </row>
    <row r="728" spans="1:16" x14ac:dyDescent="0.3">
      <c r="A728" s="1">
        <v>45191.308275462965</v>
      </c>
      <c r="B728" s="1">
        <v>45191.336562500001</v>
      </c>
      <c r="C728">
        <v>40.729999999999997</v>
      </c>
      <c r="D728" s="2">
        <v>2.8287037037037038E-2</v>
      </c>
      <c r="E728">
        <v>10.073</v>
      </c>
      <c r="F728" s="2">
        <v>2.8009259259259259E-3</v>
      </c>
      <c r="G728">
        <v>14.84</v>
      </c>
      <c r="H728">
        <v>20.79</v>
      </c>
      <c r="I728">
        <v>183</v>
      </c>
      <c r="J728">
        <v>167</v>
      </c>
      <c r="K728">
        <v>678</v>
      </c>
      <c r="L728" s="2">
        <v>2.5231481481481481E-3</v>
      </c>
      <c r="M728" s="2">
        <v>1.3692129629629629E-2</v>
      </c>
      <c r="N728" s="2">
        <v>2.8078703703703703E-2</v>
      </c>
      <c r="O728" s="2">
        <v>0</v>
      </c>
      <c r="P728" s="2">
        <v>0</v>
      </c>
    </row>
    <row r="729" spans="1:16" x14ac:dyDescent="0.3">
      <c r="A729" s="1">
        <v>45191.363553240742</v>
      </c>
      <c r="B729" s="1">
        <v>45191.384259259263</v>
      </c>
      <c r="C729">
        <v>29.83</v>
      </c>
      <c r="D729" s="2">
        <v>2.0706018518518519E-2</v>
      </c>
      <c r="E729">
        <v>5.202</v>
      </c>
      <c r="F729" s="2">
        <v>3.9814814814814817E-3</v>
      </c>
      <c r="G729">
        <v>10.46</v>
      </c>
      <c r="H729">
        <v>11.56</v>
      </c>
      <c r="I729">
        <v>161</v>
      </c>
      <c r="J729">
        <v>143</v>
      </c>
      <c r="K729">
        <v>390</v>
      </c>
      <c r="L729" s="2">
        <v>3.8541666666666668E-3</v>
      </c>
      <c r="M729" s="2">
        <v>1.9895833333333331E-2</v>
      </c>
      <c r="N729" s="2">
        <v>0</v>
      </c>
      <c r="O729" s="2">
        <v>0</v>
      </c>
      <c r="P729" s="2">
        <v>0</v>
      </c>
    </row>
    <row r="730" spans="1:16" x14ac:dyDescent="0.3">
      <c r="A730" s="1">
        <v>45192.924386574072</v>
      </c>
      <c r="B730" s="1">
        <v>45192.960960648146</v>
      </c>
      <c r="C730">
        <v>51.72</v>
      </c>
      <c r="D730" s="2">
        <v>3.5914351851851857E-2</v>
      </c>
      <c r="E730">
        <v>10.558999999999999</v>
      </c>
      <c r="F730" s="2">
        <v>3.3912037037037036E-3</v>
      </c>
      <c r="G730">
        <v>12.25</v>
      </c>
      <c r="H730">
        <v>14.01</v>
      </c>
      <c r="I730">
        <v>162</v>
      </c>
      <c r="J730">
        <v>148</v>
      </c>
      <c r="K730">
        <v>732</v>
      </c>
      <c r="L730" s="2">
        <v>3.2175925925925926E-3</v>
      </c>
      <c r="M730" s="2">
        <v>1.6921296296296299E-2</v>
      </c>
      <c r="N730" s="2">
        <v>3.4027777777777775E-2</v>
      </c>
      <c r="O730" s="2">
        <v>0</v>
      </c>
      <c r="P730" s="2">
        <v>0</v>
      </c>
    </row>
    <row r="731" spans="1:16" x14ac:dyDescent="0.3">
      <c r="A731" s="1">
        <v>45195.727222222224</v>
      </c>
      <c r="B731" s="1">
        <v>45195.77542824074</v>
      </c>
      <c r="C731">
        <v>69.42</v>
      </c>
      <c r="D731" s="2">
        <v>4.8206018518518523E-2</v>
      </c>
      <c r="E731">
        <v>15.509</v>
      </c>
      <c r="F731" s="2">
        <v>3.1018518518518522E-3</v>
      </c>
      <c r="G731">
        <v>13.41</v>
      </c>
      <c r="H731">
        <v>14.88</v>
      </c>
      <c r="I731">
        <v>177</v>
      </c>
      <c r="J731">
        <v>165</v>
      </c>
      <c r="K731">
        <v>1105</v>
      </c>
      <c r="L731" s="2">
        <v>2.8587962962962963E-3</v>
      </c>
      <c r="M731" s="2">
        <v>1.4756944444444446E-2</v>
      </c>
      <c r="N731" s="2">
        <v>3.005787037037037E-2</v>
      </c>
      <c r="O731" s="2">
        <v>0</v>
      </c>
      <c r="P731" s="2">
        <v>0</v>
      </c>
    </row>
    <row r="732" spans="1:16" x14ac:dyDescent="0.3">
      <c r="A732" s="1">
        <v>45196.750092592592</v>
      </c>
      <c r="B732" s="1">
        <v>45196.777187500003</v>
      </c>
      <c r="C732">
        <v>38.979999999999997</v>
      </c>
      <c r="D732" s="2">
        <v>2.7071759259259257E-2</v>
      </c>
      <c r="E732">
        <v>7.7030000000000003</v>
      </c>
      <c r="F732" s="2">
        <v>3.5069444444444445E-3</v>
      </c>
      <c r="G732">
        <v>11.86</v>
      </c>
      <c r="H732">
        <v>12.73</v>
      </c>
      <c r="I732">
        <v>161</v>
      </c>
      <c r="J732">
        <v>148</v>
      </c>
      <c r="K732">
        <v>550</v>
      </c>
      <c r="L732" s="2">
        <v>3.3680555555555551E-3</v>
      </c>
      <c r="M732" s="2">
        <v>1.7314814814814814E-2</v>
      </c>
      <c r="N732" s="2">
        <v>0</v>
      </c>
      <c r="O732" s="2">
        <v>0</v>
      </c>
      <c r="P732" s="2">
        <v>0</v>
      </c>
    </row>
    <row r="733" spans="1:16" x14ac:dyDescent="0.3">
      <c r="A733" s="1">
        <v>45198.212222222224</v>
      </c>
      <c r="B733" s="1">
        <v>45198.304849537039</v>
      </c>
      <c r="C733">
        <v>129.38</v>
      </c>
      <c r="D733" s="2">
        <v>8.9837962962962967E-2</v>
      </c>
      <c r="E733">
        <v>25.055</v>
      </c>
      <c r="F733" s="2">
        <v>3.5763888888888894E-3</v>
      </c>
      <c r="G733">
        <v>11.62</v>
      </c>
      <c r="H733">
        <v>13.2</v>
      </c>
      <c r="I733">
        <v>174</v>
      </c>
      <c r="J733">
        <v>153</v>
      </c>
      <c r="K733">
        <v>1785</v>
      </c>
      <c r="L733" s="2">
        <v>3.3333333333333335E-3</v>
      </c>
      <c r="M733" s="2">
        <v>1.7083333333333336E-2</v>
      </c>
      <c r="N733" s="2">
        <v>3.4548611111111113E-2</v>
      </c>
      <c r="O733" s="2">
        <v>7.4780092592592592E-2</v>
      </c>
      <c r="P733" s="2">
        <v>0</v>
      </c>
    </row>
    <row r="734" spans="1:16" x14ac:dyDescent="0.3">
      <c r="A734" s="1">
        <v>45199.93204861111</v>
      </c>
      <c r="B734" s="1">
        <v>45199.970138888886</v>
      </c>
      <c r="C734">
        <v>54.85</v>
      </c>
      <c r="D734" s="2">
        <v>3.8090277777777778E-2</v>
      </c>
      <c r="E734">
        <v>10.103</v>
      </c>
      <c r="F734" s="2">
        <v>3.7615740740740739E-3</v>
      </c>
      <c r="G734">
        <v>11.05</v>
      </c>
      <c r="H734">
        <v>12.66</v>
      </c>
      <c r="I734">
        <v>146</v>
      </c>
      <c r="J734">
        <v>131</v>
      </c>
      <c r="K734">
        <v>693</v>
      </c>
      <c r="L734" s="2">
        <v>3.6111111111111114E-3</v>
      </c>
      <c r="M734" s="2">
        <v>1.849537037037037E-2</v>
      </c>
      <c r="N734" s="2">
        <v>3.770833333333333E-2</v>
      </c>
      <c r="O734" s="2">
        <v>0</v>
      </c>
      <c r="P734" s="2">
        <v>0</v>
      </c>
    </row>
    <row r="735" spans="1:16" x14ac:dyDescent="0.3">
      <c r="A735" s="1">
        <v>45201.877013888887</v>
      </c>
      <c r="B735" s="1">
        <v>45201.919953703706</v>
      </c>
      <c r="C735">
        <v>61.83</v>
      </c>
      <c r="D735" s="2">
        <v>4.2939814814814813E-2</v>
      </c>
      <c r="E735">
        <v>12.218</v>
      </c>
      <c r="F735" s="2">
        <v>3.5069444444444445E-3</v>
      </c>
      <c r="G735">
        <v>11.86</v>
      </c>
      <c r="H735">
        <v>13.27</v>
      </c>
      <c r="I735">
        <v>171</v>
      </c>
      <c r="J735">
        <v>146</v>
      </c>
      <c r="K735">
        <v>840</v>
      </c>
      <c r="L735" s="2">
        <v>3.2407407407407406E-3</v>
      </c>
      <c r="M735" s="2">
        <v>1.7025462962962961E-2</v>
      </c>
      <c r="N735" s="2">
        <v>3.4942129629629635E-2</v>
      </c>
      <c r="O735" s="2">
        <v>0</v>
      </c>
      <c r="P735" s="2">
        <v>0</v>
      </c>
    </row>
    <row r="736" spans="1:16" x14ac:dyDescent="0.3">
      <c r="A736" s="1">
        <v>45203.257048611114</v>
      </c>
      <c r="B736" s="1">
        <v>45203.311076388891</v>
      </c>
      <c r="C736">
        <v>76.95</v>
      </c>
      <c r="D736" s="2">
        <v>5.3437499999999999E-2</v>
      </c>
      <c r="E736">
        <v>16.254000000000001</v>
      </c>
      <c r="F736" s="2">
        <v>3.2870370370370367E-3</v>
      </c>
      <c r="G736">
        <v>12.67</v>
      </c>
      <c r="H736">
        <v>15.79</v>
      </c>
      <c r="I736">
        <v>171</v>
      </c>
      <c r="J736">
        <v>155</v>
      </c>
      <c r="K736">
        <v>1125</v>
      </c>
      <c r="L736" s="2">
        <v>2.9861111111111113E-3</v>
      </c>
      <c r="M736" s="2">
        <v>1.6053240740740739E-2</v>
      </c>
      <c r="N736" s="2">
        <v>3.2523148148148148E-2</v>
      </c>
      <c r="O736" s="2">
        <v>0</v>
      </c>
      <c r="P736" s="2">
        <v>0</v>
      </c>
    </row>
    <row r="737" spans="1:16" x14ac:dyDescent="0.3">
      <c r="A737" s="1">
        <v>45204.839872685188</v>
      </c>
      <c r="B737" s="1">
        <v>45204.915844907409</v>
      </c>
      <c r="C737">
        <v>109.07</v>
      </c>
      <c r="D737" s="2">
        <v>7.5729166666666667E-2</v>
      </c>
      <c r="E737">
        <v>21.187000000000001</v>
      </c>
      <c r="F737" s="2">
        <v>3.5648148148148154E-3</v>
      </c>
      <c r="G737">
        <v>11.66</v>
      </c>
      <c r="H737">
        <v>12.5</v>
      </c>
      <c r="I737">
        <v>169</v>
      </c>
      <c r="J737">
        <v>151</v>
      </c>
      <c r="K737">
        <v>1492</v>
      </c>
      <c r="L737" s="2">
        <v>3.414351851851852E-3</v>
      </c>
      <c r="M737" s="2">
        <v>1.7384259259259262E-2</v>
      </c>
      <c r="N737" s="2">
        <v>3.5347222222222217E-2</v>
      </c>
      <c r="O737" s="2">
        <v>7.5393518518518512E-2</v>
      </c>
      <c r="P737" s="2">
        <v>0</v>
      </c>
    </row>
    <row r="738" spans="1:16" x14ac:dyDescent="0.3">
      <c r="A738" s="1">
        <v>45207.833773148152</v>
      </c>
      <c r="B738" s="1">
        <v>45207.875451388885</v>
      </c>
      <c r="C738">
        <v>60.02</v>
      </c>
      <c r="D738" s="2">
        <v>4.1666666666666664E-2</v>
      </c>
      <c r="E738">
        <v>12.205</v>
      </c>
      <c r="F738" s="2">
        <v>3.414351851851852E-3</v>
      </c>
      <c r="G738">
        <v>12.2</v>
      </c>
      <c r="H738">
        <v>13.44</v>
      </c>
      <c r="I738">
        <v>175</v>
      </c>
      <c r="J738">
        <v>158</v>
      </c>
      <c r="K738">
        <v>862</v>
      </c>
      <c r="L738" s="2">
        <v>3.2175925925925926E-3</v>
      </c>
      <c r="M738" s="2">
        <v>1.6747685185185185E-2</v>
      </c>
      <c r="N738" s="2">
        <v>3.3831018518518517E-2</v>
      </c>
      <c r="O738" s="2">
        <v>0</v>
      </c>
      <c r="P738" s="2">
        <v>0</v>
      </c>
    </row>
    <row r="739" spans="1:16" x14ac:dyDescent="0.3">
      <c r="A739" s="1">
        <v>45209.676724537036</v>
      </c>
      <c r="B739" s="1">
        <v>45209.721400462964</v>
      </c>
      <c r="C739">
        <v>63.63</v>
      </c>
      <c r="D739" s="2">
        <v>4.4178240740740747E-2</v>
      </c>
      <c r="E739">
        <v>13.503</v>
      </c>
      <c r="F739" s="2">
        <v>3.2638888888888891E-3</v>
      </c>
      <c r="G739">
        <v>12.73</v>
      </c>
      <c r="H739">
        <v>14.44</v>
      </c>
      <c r="I739">
        <v>179</v>
      </c>
      <c r="J739">
        <v>162</v>
      </c>
      <c r="K739">
        <v>963</v>
      </c>
      <c r="L739" s="2">
        <v>3.0787037037037037E-3</v>
      </c>
      <c r="M739" s="2">
        <v>1.5752314814814813E-2</v>
      </c>
      <c r="N739" s="2">
        <v>3.2199074074074074E-2</v>
      </c>
      <c r="O739" s="2">
        <v>0</v>
      </c>
      <c r="P739" s="2">
        <v>0</v>
      </c>
    </row>
    <row r="740" spans="1:16" x14ac:dyDescent="0.3">
      <c r="A740" s="1">
        <v>45211.833240740743</v>
      </c>
      <c r="B740" s="1">
        <v>45211.870289351849</v>
      </c>
      <c r="C740">
        <v>53.35</v>
      </c>
      <c r="D740" s="2">
        <v>3.7048611111111109E-2</v>
      </c>
      <c r="E740">
        <v>11.115</v>
      </c>
      <c r="F740" s="2">
        <v>3.3217592592592591E-3</v>
      </c>
      <c r="G740">
        <v>12.5</v>
      </c>
      <c r="H740">
        <v>14.28</v>
      </c>
      <c r="I740">
        <v>172</v>
      </c>
      <c r="J740">
        <v>154</v>
      </c>
      <c r="K740">
        <v>782</v>
      </c>
      <c r="L740" s="2">
        <v>3.1249999999999997E-3</v>
      </c>
      <c r="M740" s="2">
        <v>1.6111111111111111E-2</v>
      </c>
      <c r="N740" s="2">
        <v>3.3136574074074075E-2</v>
      </c>
      <c r="O740" s="2">
        <v>0</v>
      </c>
      <c r="P740" s="2">
        <v>0</v>
      </c>
    </row>
    <row r="741" spans="1:16" x14ac:dyDescent="0.3">
      <c r="A741" s="1">
        <v>45212.201111111113</v>
      </c>
      <c r="B741" s="1">
        <v>45212.316145833334</v>
      </c>
      <c r="C741">
        <v>159.07</v>
      </c>
      <c r="D741" s="2">
        <v>0.11045138888888889</v>
      </c>
      <c r="E741">
        <v>30.305</v>
      </c>
      <c r="F741" s="2">
        <v>3.6342592592592594E-3</v>
      </c>
      <c r="G741">
        <v>11.43</v>
      </c>
      <c r="H741">
        <v>12.77</v>
      </c>
      <c r="I741">
        <v>167</v>
      </c>
      <c r="J741">
        <v>144</v>
      </c>
      <c r="K741">
        <v>2107</v>
      </c>
      <c r="L741" s="2">
        <v>3.3217592592592591E-3</v>
      </c>
      <c r="M741" s="2">
        <v>1.7222222222222222E-2</v>
      </c>
      <c r="N741" s="2">
        <v>3.498842592592593E-2</v>
      </c>
      <c r="O741" s="2">
        <v>7.5752314814814814E-2</v>
      </c>
      <c r="P741" s="2">
        <v>0</v>
      </c>
    </row>
    <row r="742" spans="1:16" x14ac:dyDescent="0.3">
      <c r="A742" s="1">
        <v>45214.813738425924</v>
      </c>
      <c r="B742" s="1">
        <v>45214.851782407408</v>
      </c>
      <c r="C742">
        <v>54.78</v>
      </c>
      <c r="D742" s="2">
        <v>3.8032407407407411E-2</v>
      </c>
      <c r="E742">
        <v>11.342000000000001</v>
      </c>
      <c r="F742" s="2">
        <v>3.4490740740740745E-3</v>
      </c>
      <c r="G742">
        <v>12.05</v>
      </c>
      <c r="H742">
        <v>21.46</v>
      </c>
      <c r="I742">
        <v>167</v>
      </c>
      <c r="J742">
        <v>155</v>
      </c>
      <c r="K742">
        <v>671</v>
      </c>
      <c r="L742" s="2">
        <v>1.712962962962963E-3</v>
      </c>
      <c r="M742" s="2">
        <v>1.2337962962962962E-2</v>
      </c>
      <c r="N742" s="2">
        <v>3.3888888888888885E-2</v>
      </c>
      <c r="O742" s="2">
        <v>0</v>
      </c>
      <c r="P742" s="2">
        <v>0</v>
      </c>
    </row>
    <row r="743" spans="1:16" x14ac:dyDescent="0.3">
      <c r="A743" s="1">
        <v>45216.714942129627</v>
      </c>
      <c r="B743" s="1">
        <v>45216.757233796299</v>
      </c>
      <c r="C743">
        <v>59.72</v>
      </c>
      <c r="D743" s="2">
        <v>4.1469907407407407E-2</v>
      </c>
      <c r="E743">
        <v>13.131</v>
      </c>
      <c r="F743" s="2">
        <v>3.1481481481481482E-3</v>
      </c>
      <c r="G743">
        <v>13.19</v>
      </c>
      <c r="H743">
        <v>16.760000000000002</v>
      </c>
      <c r="I743">
        <v>166</v>
      </c>
      <c r="J743">
        <v>149</v>
      </c>
      <c r="K743">
        <v>851</v>
      </c>
      <c r="L743" s="2">
        <v>2.8935185185185188E-3</v>
      </c>
      <c r="M743" s="2">
        <v>1.5486111111111112E-2</v>
      </c>
      <c r="N743" s="2">
        <v>3.142361111111111E-2</v>
      </c>
      <c r="O743" s="2">
        <v>0</v>
      </c>
      <c r="P743" s="2">
        <v>0</v>
      </c>
    </row>
    <row r="744" spans="1:16" x14ac:dyDescent="0.3">
      <c r="A744" s="1">
        <v>45218.501469907409</v>
      </c>
      <c r="B744" s="1">
        <v>45218.538368055553</v>
      </c>
      <c r="C744">
        <v>53.13</v>
      </c>
      <c r="D744" s="2">
        <v>3.6886574074074079E-2</v>
      </c>
      <c r="E744">
        <v>11.108000000000001</v>
      </c>
      <c r="F744" s="2">
        <v>3.3217592592592591E-3</v>
      </c>
      <c r="G744">
        <v>12.54</v>
      </c>
      <c r="H744">
        <v>13.5</v>
      </c>
      <c r="I744">
        <v>178</v>
      </c>
      <c r="J744">
        <v>158</v>
      </c>
      <c r="K744">
        <v>784</v>
      </c>
      <c r="L744" s="2">
        <v>3.2291666666666666E-3</v>
      </c>
      <c r="M744" s="2">
        <v>1.636574074074074E-2</v>
      </c>
      <c r="N744" s="2">
        <v>3.3020833333333333E-2</v>
      </c>
      <c r="O744" s="2">
        <v>0</v>
      </c>
      <c r="P744" s="2">
        <v>0</v>
      </c>
    </row>
    <row r="745" spans="1:16" x14ac:dyDescent="0.3">
      <c r="A745" s="1">
        <v>45219.27034722222</v>
      </c>
      <c r="B745" s="1">
        <v>45219.315555555557</v>
      </c>
      <c r="C745">
        <v>64.55</v>
      </c>
      <c r="D745" s="2">
        <v>4.4814814814814814E-2</v>
      </c>
      <c r="E745">
        <v>12.214</v>
      </c>
      <c r="F745" s="2">
        <v>3.6689814814814814E-3</v>
      </c>
      <c r="G745">
        <v>11.35</v>
      </c>
      <c r="H745">
        <v>13.03</v>
      </c>
      <c r="I745">
        <v>158</v>
      </c>
      <c r="J745">
        <v>142</v>
      </c>
      <c r="K745">
        <v>858</v>
      </c>
      <c r="L745" s="2">
        <v>3.5763888888888894E-3</v>
      </c>
      <c r="M745" s="2">
        <v>1.8148148148148146E-2</v>
      </c>
      <c r="N745" s="2">
        <v>3.6620370370370373E-2</v>
      </c>
      <c r="O745" s="2">
        <v>0</v>
      </c>
      <c r="P745" s="2">
        <v>0</v>
      </c>
    </row>
    <row r="746" spans="1:16" x14ac:dyDescent="0.3">
      <c r="A746" s="1">
        <v>45222.901875000003</v>
      </c>
      <c r="B746" s="1">
        <v>45222.953275462962</v>
      </c>
      <c r="C746">
        <v>74.02</v>
      </c>
      <c r="D746" s="2">
        <v>5.1388888888888894E-2</v>
      </c>
      <c r="E746">
        <v>15.103999999999999</v>
      </c>
      <c r="F746" s="2">
        <v>3.4027777777777784E-3</v>
      </c>
      <c r="G746">
        <v>12.24</v>
      </c>
      <c r="H746">
        <v>14.81</v>
      </c>
      <c r="I746">
        <v>165</v>
      </c>
      <c r="J746">
        <v>147</v>
      </c>
      <c r="K746">
        <v>1033</v>
      </c>
      <c r="L746" s="2">
        <v>3.2523148148148151E-3</v>
      </c>
      <c r="M746" s="2">
        <v>1.6493055555555556E-2</v>
      </c>
      <c r="N746" s="2">
        <v>3.3506944444444443E-2</v>
      </c>
      <c r="O746" s="2">
        <v>0</v>
      </c>
      <c r="P746" s="2">
        <v>0</v>
      </c>
    </row>
    <row r="747" spans="1:16" x14ac:dyDescent="0.3">
      <c r="A747" s="1">
        <v>45223.639155092591</v>
      </c>
      <c r="B747" s="1">
        <v>45223.669016203705</v>
      </c>
      <c r="C747">
        <v>43</v>
      </c>
      <c r="D747" s="2">
        <v>2.9861111111111113E-2</v>
      </c>
      <c r="E747">
        <v>8.9550000000000001</v>
      </c>
      <c r="F747" s="2">
        <v>3.2986111111111111E-3</v>
      </c>
      <c r="G747">
        <v>12.6</v>
      </c>
      <c r="H747">
        <v>20.66</v>
      </c>
      <c r="I747">
        <v>158</v>
      </c>
      <c r="J747">
        <v>141</v>
      </c>
      <c r="K747">
        <v>716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</row>
    <row r="748" spans="1:16" x14ac:dyDescent="0.3">
      <c r="A748" s="1">
        <v>45224.728136574071</v>
      </c>
      <c r="B748" s="1">
        <v>45224.769814814812</v>
      </c>
      <c r="C748">
        <v>60.02</v>
      </c>
      <c r="D748" s="2">
        <v>4.1666666666666664E-2</v>
      </c>
      <c r="E748">
        <v>12.503</v>
      </c>
      <c r="F748" s="2">
        <v>3.3333333333333335E-3</v>
      </c>
      <c r="G748">
        <v>12.5</v>
      </c>
      <c r="H748">
        <v>15.32</v>
      </c>
      <c r="I748">
        <v>172</v>
      </c>
      <c r="J748">
        <v>152</v>
      </c>
      <c r="K748">
        <v>884</v>
      </c>
      <c r="L748" s="2">
        <v>2.9745370370370373E-3</v>
      </c>
      <c r="M748" s="2">
        <v>1.6423611111111111E-2</v>
      </c>
      <c r="N748" s="2">
        <v>3.3206018518518517E-2</v>
      </c>
      <c r="O748" s="2">
        <v>0</v>
      </c>
      <c r="P748" s="2">
        <v>0</v>
      </c>
    </row>
    <row r="749" spans="1:16" x14ac:dyDescent="0.3">
      <c r="A749" s="1">
        <v>45226.422650462962</v>
      </c>
      <c r="B749" s="1">
        <v>45226.497719907406</v>
      </c>
      <c r="C749">
        <v>105.15</v>
      </c>
      <c r="D749" s="2">
        <v>7.3020833333333326E-2</v>
      </c>
      <c r="E749">
        <v>21.210999999999999</v>
      </c>
      <c r="F749" s="2">
        <v>3.4375E-3</v>
      </c>
      <c r="G749">
        <v>12.1</v>
      </c>
      <c r="H749">
        <v>13.91</v>
      </c>
      <c r="I749">
        <v>168</v>
      </c>
      <c r="J749">
        <v>154</v>
      </c>
      <c r="K749">
        <v>1500</v>
      </c>
      <c r="L749" s="2">
        <v>3.2407407407407406E-3</v>
      </c>
      <c r="M749" s="2">
        <v>1.6782407407407409E-2</v>
      </c>
      <c r="N749" s="2">
        <v>3.3831018518518517E-2</v>
      </c>
      <c r="O749" s="2">
        <v>7.2615740740740745E-2</v>
      </c>
      <c r="P749" s="2">
        <v>0</v>
      </c>
    </row>
    <row r="750" spans="1:16" x14ac:dyDescent="0.3">
      <c r="A750" s="1">
        <v>45227.927291666667</v>
      </c>
      <c r="B750" s="1">
        <v>45227.966874999998</v>
      </c>
      <c r="C750">
        <v>57</v>
      </c>
      <c r="D750" s="2">
        <v>3.9583333333333331E-2</v>
      </c>
      <c r="E750">
        <v>11.117000000000001</v>
      </c>
      <c r="F750" s="2">
        <v>3.5532407407407405E-3</v>
      </c>
      <c r="G750">
        <v>11.7</v>
      </c>
      <c r="H750">
        <v>13.64</v>
      </c>
      <c r="I750">
        <v>162</v>
      </c>
      <c r="J750">
        <v>141</v>
      </c>
      <c r="K750">
        <v>773</v>
      </c>
      <c r="L750" s="2">
        <v>3.2175925925925926E-3</v>
      </c>
      <c r="M750" s="2">
        <v>1.6932870370370369E-2</v>
      </c>
      <c r="N750" s="2">
        <v>3.5509259259259261E-2</v>
      </c>
      <c r="O750" s="2">
        <v>0</v>
      </c>
      <c r="P750" s="2">
        <v>0</v>
      </c>
    </row>
    <row r="751" spans="1:16" x14ac:dyDescent="0.3">
      <c r="A751" s="1">
        <v>45228.74077546296</v>
      </c>
      <c r="B751" s="1">
        <v>45228.761805555558</v>
      </c>
      <c r="C751">
        <v>30.28</v>
      </c>
      <c r="D751" s="2">
        <v>2.1030092592592597E-2</v>
      </c>
      <c r="E751">
        <v>6.1050000000000004</v>
      </c>
      <c r="F751" s="2">
        <v>3.4375E-3</v>
      </c>
      <c r="G751">
        <v>12.1</v>
      </c>
      <c r="H751">
        <v>13.44</v>
      </c>
      <c r="I751">
        <v>159</v>
      </c>
      <c r="J751">
        <v>140</v>
      </c>
      <c r="K751">
        <v>415</v>
      </c>
      <c r="L751" s="2">
        <v>3.2407407407407406E-3</v>
      </c>
      <c r="M751" s="2">
        <v>1.7094907407407409E-2</v>
      </c>
      <c r="N751" s="2">
        <v>0</v>
      </c>
      <c r="O751" s="2">
        <v>0</v>
      </c>
      <c r="P751" s="2">
        <v>0</v>
      </c>
    </row>
    <row r="752" spans="1:16" x14ac:dyDescent="0.3">
      <c r="A752" s="1">
        <v>45229.708368055559</v>
      </c>
      <c r="B752" s="1">
        <v>45229.745833333334</v>
      </c>
      <c r="C752">
        <v>53.95</v>
      </c>
      <c r="D752" s="2">
        <v>3.7465277777777778E-2</v>
      </c>
      <c r="E752">
        <v>11.113</v>
      </c>
      <c r="F752" s="2">
        <v>3.3680555555555551E-3</v>
      </c>
      <c r="G752">
        <v>12.36</v>
      </c>
      <c r="H752">
        <v>17.98</v>
      </c>
      <c r="I752">
        <v>171</v>
      </c>
      <c r="J752">
        <v>152</v>
      </c>
      <c r="K752">
        <v>785</v>
      </c>
      <c r="L752" s="2">
        <v>3.2407407407407406E-3</v>
      </c>
      <c r="M752" s="2">
        <v>1.6608796296296299E-2</v>
      </c>
      <c r="N752" s="2">
        <v>3.3553240740740745E-2</v>
      </c>
      <c r="O752" s="2">
        <v>0</v>
      </c>
      <c r="P752" s="2">
        <v>0</v>
      </c>
    </row>
    <row r="753" spans="1:16" x14ac:dyDescent="0.3">
      <c r="A753" s="1">
        <v>45230.843009259261</v>
      </c>
      <c r="B753" s="1">
        <v>45230.895474537036</v>
      </c>
      <c r="C753">
        <v>74.819999999999993</v>
      </c>
      <c r="D753" s="2">
        <v>5.1944444444444439E-2</v>
      </c>
      <c r="E753">
        <v>15.101000000000001</v>
      </c>
      <c r="F753" s="2">
        <v>3.4375E-3</v>
      </c>
      <c r="G753">
        <v>12.11</v>
      </c>
      <c r="H753">
        <v>22.4</v>
      </c>
      <c r="I753">
        <v>169</v>
      </c>
      <c r="J753">
        <v>148</v>
      </c>
      <c r="K753">
        <v>1065</v>
      </c>
      <c r="L753" s="2">
        <v>3.1249999999999997E-3</v>
      </c>
      <c r="M753" s="2">
        <v>1.6053240740740739E-2</v>
      </c>
      <c r="N753" s="2">
        <v>3.3148148148148149E-2</v>
      </c>
      <c r="O753" s="2">
        <v>0</v>
      </c>
      <c r="P753" s="2">
        <v>0</v>
      </c>
    </row>
    <row r="754" spans="1:16" x14ac:dyDescent="0.3">
      <c r="A754" s="1">
        <v>45233.202060185184</v>
      </c>
      <c r="B754" s="1">
        <v>45233.326226851852</v>
      </c>
      <c r="C754">
        <v>165.52</v>
      </c>
      <c r="D754" s="2">
        <v>0.11494212962962963</v>
      </c>
      <c r="E754">
        <v>33.334000000000003</v>
      </c>
      <c r="F754" s="2">
        <v>3.4375E-3</v>
      </c>
      <c r="G754">
        <v>12.08</v>
      </c>
      <c r="H754">
        <v>20.82</v>
      </c>
      <c r="I754">
        <v>169</v>
      </c>
      <c r="J754">
        <v>146</v>
      </c>
      <c r="K754">
        <v>2327</v>
      </c>
      <c r="L754" s="2">
        <v>3.2638888888888891E-3</v>
      </c>
      <c r="M754" s="2">
        <v>1.6805555555555556E-2</v>
      </c>
      <c r="N754" s="2">
        <v>3.412037037037037E-2</v>
      </c>
      <c r="O754" s="2">
        <v>7.2453703703703701E-2</v>
      </c>
      <c r="P754" s="2">
        <v>0</v>
      </c>
    </row>
    <row r="755" spans="1:16" x14ac:dyDescent="0.3">
      <c r="A755" s="1">
        <v>45234.910081018519</v>
      </c>
      <c r="B755" s="1">
        <v>45234.954363425924</v>
      </c>
      <c r="C755">
        <v>57.95</v>
      </c>
      <c r="D755" s="2">
        <v>4.024305555555556E-2</v>
      </c>
      <c r="E755">
        <v>11.122</v>
      </c>
      <c r="F755" s="2">
        <v>3.6111111111111114E-3</v>
      </c>
      <c r="G755">
        <v>11.52</v>
      </c>
      <c r="H755">
        <v>22.74</v>
      </c>
      <c r="I755">
        <v>172</v>
      </c>
      <c r="J755">
        <v>147</v>
      </c>
      <c r="K755">
        <v>770</v>
      </c>
      <c r="L755" s="2">
        <v>3.2986111111111111E-3</v>
      </c>
      <c r="M755" s="2">
        <v>1.7685185185185182E-2</v>
      </c>
      <c r="N755" s="2">
        <v>3.5960648148148151E-2</v>
      </c>
      <c r="O755" s="2">
        <v>0</v>
      </c>
      <c r="P755" s="2">
        <v>0</v>
      </c>
    </row>
    <row r="756" spans="1:16" x14ac:dyDescent="0.3">
      <c r="A756" s="1">
        <v>45236.719155092593</v>
      </c>
      <c r="B756" s="1">
        <v>45236.765370370369</v>
      </c>
      <c r="C756">
        <v>66.55</v>
      </c>
      <c r="D756" s="2">
        <v>4.6203703703703698E-2</v>
      </c>
      <c r="E756">
        <v>15.154999999999999</v>
      </c>
      <c r="F756" s="2">
        <v>3.0439814814814821E-3</v>
      </c>
      <c r="G756">
        <v>13.66</v>
      </c>
      <c r="H756">
        <v>24.97</v>
      </c>
      <c r="I756">
        <v>179</v>
      </c>
      <c r="J756">
        <v>156</v>
      </c>
      <c r="K756">
        <v>1022</v>
      </c>
      <c r="L756" s="2">
        <v>2.8356481481481479E-3</v>
      </c>
      <c r="M756" s="2">
        <v>1.5046296296296295E-2</v>
      </c>
      <c r="N756" s="2">
        <v>3.0277777777777778E-2</v>
      </c>
      <c r="O756" s="2">
        <v>0</v>
      </c>
      <c r="P756" s="2">
        <v>0</v>
      </c>
    </row>
    <row r="757" spans="1:16" x14ac:dyDescent="0.3">
      <c r="A757" s="1">
        <v>45237.75105324074</v>
      </c>
      <c r="B757" s="1">
        <v>45237.787083333336</v>
      </c>
      <c r="C757">
        <v>51.88</v>
      </c>
      <c r="D757" s="2">
        <v>3.6018518518518519E-2</v>
      </c>
      <c r="E757">
        <v>10.254</v>
      </c>
      <c r="F757" s="2">
        <v>3.5069444444444445E-3</v>
      </c>
      <c r="G757">
        <v>11.86</v>
      </c>
      <c r="H757">
        <v>27.98</v>
      </c>
      <c r="I757">
        <v>153</v>
      </c>
      <c r="J757">
        <v>143</v>
      </c>
      <c r="K757">
        <v>699</v>
      </c>
      <c r="L757" s="2">
        <v>3.3680555555555551E-3</v>
      </c>
      <c r="M757" s="2">
        <v>1.7291666666666667E-2</v>
      </c>
      <c r="N757" s="2">
        <v>3.4930555555555555E-2</v>
      </c>
      <c r="O757" s="2">
        <v>0</v>
      </c>
      <c r="P757" s="2">
        <v>0</v>
      </c>
    </row>
    <row r="758" spans="1:16" x14ac:dyDescent="0.3">
      <c r="A758" s="1">
        <v>45240.203136574077</v>
      </c>
      <c r="B758" s="1">
        <v>45240.335393518515</v>
      </c>
      <c r="C758">
        <v>175.83</v>
      </c>
      <c r="D758" s="2">
        <v>0.12210648148148147</v>
      </c>
      <c r="E758">
        <v>36.383000000000003</v>
      </c>
      <c r="F758" s="2">
        <v>3.3449074074074071E-3</v>
      </c>
      <c r="G758">
        <v>12.42</v>
      </c>
      <c r="H758">
        <v>28.22</v>
      </c>
      <c r="I758">
        <v>168</v>
      </c>
      <c r="J758">
        <v>150</v>
      </c>
      <c r="K758">
        <v>2478</v>
      </c>
      <c r="L758" s="2">
        <v>2.9282407407407412E-3</v>
      </c>
      <c r="M758" s="2">
        <v>1.5509259259259257E-2</v>
      </c>
      <c r="N758" s="2">
        <v>3.1886574074074074E-2</v>
      </c>
      <c r="O758" s="2">
        <v>6.9409722222222234E-2</v>
      </c>
      <c r="P758" s="2">
        <v>0</v>
      </c>
    </row>
    <row r="759" spans="1:16" x14ac:dyDescent="0.3">
      <c r="A759" s="1">
        <v>45241.80678240741</v>
      </c>
      <c r="B759" s="1">
        <v>45241.848611111112</v>
      </c>
      <c r="C759">
        <v>60.23</v>
      </c>
      <c r="D759" s="2">
        <v>4.1828703703703701E-2</v>
      </c>
      <c r="E759">
        <v>11.194000000000001</v>
      </c>
      <c r="F759" s="2">
        <v>3.7268518518518514E-3</v>
      </c>
      <c r="G759">
        <v>11.15</v>
      </c>
      <c r="H759">
        <v>20.23</v>
      </c>
      <c r="I759">
        <v>162</v>
      </c>
      <c r="J759">
        <v>137</v>
      </c>
      <c r="K759">
        <v>785</v>
      </c>
      <c r="L759" s="2">
        <v>3.5648148148148154E-3</v>
      </c>
      <c r="M759" s="2">
        <v>1.8356481481481481E-2</v>
      </c>
      <c r="N759" s="2">
        <v>3.7048611111111109E-2</v>
      </c>
      <c r="O759" s="2">
        <v>0</v>
      </c>
      <c r="P759" s="2">
        <v>0</v>
      </c>
    </row>
    <row r="760" spans="1:16" x14ac:dyDescent="0.3">
      <c r="A760" s="1">
        <v>45244.714143518519</v>
      </c>
      <c r="B760" s="1">
        <v>45244.752685185187</v>
      </c>
      <c r="C760">
        <v>55.5</v>
      </c>
      <c r="D760" s="2">
        <v>3.8541666666666669E-2</v>
      </c>
      <c r="E760">
        <v>11.471</v>
      </c>
      <c r="F760" s="2">
        <v>2.9398148148148148E-3</v>
      </c>
      <c r="G760">
        <v>14.16</v>
      </c>
      <c r="H760">
        <v>0</v>
      </c>
      <c r="I760">
        <v>178</v>
      </c>
      <c r="J760">
        <v>155</v>
      </c>
      <c r="K760">
        <v>925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</row>
    <row r="761" spans="1:16" x14ac:dyDescent="0.3">
      <c r="A761" s="1">
        <v>45246.697476851848</v>
      </c>
      <c r="B761" s="1">
        <v>45246.739722222221</v>
      </c>
      <c r="C761">
        <v>60.83</v>
      </c>
      <c r="D761" s="2">
        <v>4.2245370370370371E-2</v>
      </c>
      <c r="E761">
        <v>12.503</v>
      </c>
      <c r="F761" s="2">
        <v>3.3680555555555551E-3</v>
      </c>
      <c r="G761">
        <v>12.33</v>
      </c>
      <c r="H761">
        <v>27.03</v>
      </c>
      <c r="I761">
        <v>165</v>
      </c>
      <c r="J761">
        <v>151</v>
      </c>
      <c r="K761">
        <v>878</v>
      </c>
      <c r="L761" s="2">
        <v>3.2291666666666666E-3</v>
      </c>
      <c r="M761" s="2">
        <v>1.638888888888889E-2</v>
      </c>
      <c r="N761" s="2">
        <v>3.3310185185185186E-2</v>
      </c>
      <c r="O761" s="2">
        <v>0</v>
      </c>
      <c r="P761" s="2">
        <v>0</v>
      </c>
    </row>
    <row r="762" spans="1:16" x14ac:dyDescent="0.3">
      <c r="A762" s="1">
        <v>45247.209745370368</v>
      </c>
      <c r="B762" s="1">
        <v>45247.297291666669</v>
      </c>
      <c r="C762">
        <v>116.8</v>
      </c>
      <c r="D762" s="2">
        <v>8.1099537037037039E-2</v>
      </c>
      <c r="E762">
        <v>22.224</v>
      </c>
      <c r="F762" s="2">
        <v>3.645833333333333E-3</v>
      </c>
      <c r="G762">
        <v>11.42</v>
      </c>
      <c r="H762">
        <v>22.43</v>
      </c>
      <c r="I762">
        <v>159</v>
      </c>
      <c r="J762">
        <v>139</v>
      </c>
      <c r="K762">
        <v>1529</v>
      </c>
      <c r="L762" s="2">
        <v>3.4606481481481485E-3</v>
      </c>
      <c r="M762" s="2">
        <v>1.7754629629629631E-2</v>
      </c>
      <c r="N762" s="2">
        <v>3.5960648148148151E-2</v>
      </c>
      <c r="O762" s="2">
        <v>7.694444444444444E-2</v>
      </c>
      <c r="P762" s="2">
        <v>0</v>
      </c>
    </row>
    <row r="763" spans="1:16" x14ac:dyDescent="0.3">
      <c r="A763" s="1">
        <v>45248.865729166668</v>
      </c>
      <c r="B763" s="1">
        <v>45248.903969907406</v>
      </c>
      <c r="C763">
        <v>55.07</v>
      </c>
      <c r="D763" s="2">
        <v>3.8240740740740742E-2</v>
      </c>
      <c r="E763">
        <v>10.103</v>
      </c>
      <c r="F763" s="2">
        <v>3.7847222222222223E-3</v>
      </c>
      <c r="G763">
        <v>11.01</v>
      </c>
      <c r="H763">
        <v>26.27</v>
      </c>
      <c r="I763">
        <v>157</v>
      </c>
      <c r="J763">
        <v>141</v>
      </c>
      <c r="K763">
        <v>716</v>
      </c>
      <c r="L763" s="2">
        <v>3.6689814814814814E-3</v>
      </c>
      <c r="M763" s="2">
        <v>1.8854166666666665E-2</v>
      </c>
      <c r="N763" s="2">
        <v>3.784722222222222E-2</v>
      </c>
      <c r="O763" s="2">
        <v>0</v>
      </c>
      <c r="P763" s="2">
        <v>0</v>
      </c>
    </row>
    <row r="764" spans="1:16" x14ac:dyDescent="0.3">
      <c r="A764" s="1">
        <v>45249.745428240742</v>
      </c>
      <c r="B764" s="1">
        <v>45249.756319444445</v>
      </c>
      <c r="C764">
        <v>15.53</v>
      </c>
      <c r="D764" s="2">
        <v>1.0775462962962964E-2</v>
      </c>
      <c r="E764">
        <v>3.0070000000000001</v>
      </c>
      <c r="F764" s="2">
        <v>3.5532407407407405E-3</v>
      </c>
      <c r="G764">
        <v>11.7</v>
      </c>
      <c r="H764">
        <v>0</v>
      </c>
      <c r="I764">
        <v>143</v>
      </c>
      <c r="J764">
        <v>132</v>
      </c>
      <c r="K764">
        <v>245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</row>
    <row r="765" spans="1:16" x14ac:dyDescent="0.3">
      <c r="A765" s="1">
        <v>45250.762916666667</v>
      </c>
      <c r="B765" s="1">
        <v>45250.797488425924</v>
      </c>
      <c r="C765">
        <v>49.78</v>
      </c>
      <c r="D765" s="2">
        <v>3.4560185185185187E-2</v>
      </c>
      <c r="E765">
        <v>9.7140000000000004</v>
      </c>
      <c r="F765" s="2">
        <v>3.1134259259259257E-3</v>
      </c>
      <c r="G765">
        <v>13.38</v>
      </c>
      <c r="H765">
        <v>0</v>
      </c>
      <c r="I765">
        <v>175</v>
      </c>
      <c r="J765">
        <v>159</v>
      </c>
      <c r="K765">
        <v>829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</row>
    <row r="766" spans="1:16" x14ac:dyDescent="0.3">
      <c r="A766" s="1">
        <v>45252.751793981479</v>
      </c>
      <c r="B766" s="1">
        <v>45252.787812499999</v>
      </c>
      <c r="C766">
        <v>51.87</v>
      </c>
      <c r="D766" s="2">
        <v>3.6018518518518519E-2</v>
      </c>
      <c r="E766">
        <v>9.9</v>
      </c>
      <c r="F766" s="2">
        <v>3.1249999999999997E-3</v>
      </c>
      <c r="G766">
        <v>13.3</v>
      </c>
      <c r="H766">
        <v>0</v>
      </c>
      <c r="I766">
        <v>168</v>
      </c>
      <c r="J766">
        <v>141</v>
      </c>
      <c r="K766">
        <v>864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</row>
    <row r="767" spans="1:16" x14ac:dyDescent="0.3">
      <c r="A767" s="1">
        <v>45254.207777777781</v>
      </c>
      <c r="B767" s="1">
        <v>45254.306875000002</v>
      </c>
      <c r="C767">
        <v>133.05000000000001</v>
      </c>
      <c r="D767" s="2">
        <v>9.239583333333333E-2</v>
      </c>
      <c r="E767">
        <v>27.103000000000002</v>
      </c>
      <c r="F767" s="2">
        <v>3.4027777777777784E-3</v>
      </c>
      <c r="G767">
        <v>12.22</v>
      </c>
      <c r="H767">
        <v>19.04</v>
      </c>
      <c r="I767">
        <v>178</v>
      </c>
      <c r="J767">
        <v>159</v>
      </c>
      <c r="K767">
        <v>1935</v>
      </c>
      <c r="L767" s="2">
        <v>3.0555555555555557E-3</v>
      </c>
      <c r="M767" s="2">
        <v>1.6134259259259261E-2</v>
      </c>
      <c r="N767" s="2">
        <v>3.2824074074074075E-2</v>
      </c>
      <c r="O767" s="2">
        <v>7.1446759259259265E-2</v>
      </c>
      <c r="P767" s="2">
        <v>0</v>
      </c>
    </row>
    <row r="768" spans="1:16" x14ac:dyDescent="0.3">
      <c r="A768" s="1">
        <v>45255.888692129629</v>
      </c>
      <c r="B768" s="1">
        <v>45255.931504629632</v>
      </c>
      <c r="C768">
        <v>61.65</v>
      </c>
      <c r="D768" s="2">
        <v>4.280092592592593E-2</v>
      </c>
      <c r="E768">
        <v>12.499000000000001</v>
      </c>
      <c r="F768" s="2">
        <v>3.414351851851852E-3</v>
      </c>
      <c r="G768">
        <v>12.16</v>
      </c>
      <c r="H768">
        <v>21.06</v>
      </c>
      <c r="I768">
        <v>173</v>
      </c>
      <c r="J768">
        <v>150</v>
      </c>
      <c r="K768">
        <v>886</v>
      </c>
      <c r="L768" s="2">
        <v>3.1365740740740742E-3</v>
      </c>
      <c r="M768" s="2">
        <v>1.653935185185185E-2</v>
      </c>
      <c r="N768" s="2">
        <v>3.3993055555555561E-2</v>
      </c>
      <c r="O768" s="2">
        <v>0</v>
      </c>
      <c r="P768" s="2">
        <v>0</v>
      </c>
    </row>
    <row r="769" spans="1:16" x14ac:dyDescent="0.3">
      <c r="A769" s="1">
        <v>45256.746076388888</v>
      </c>
      <c r="B769" s="1">
        <v>45256.765173611115</v>
      </c>
      <c r="C769">
        <v>27.5</v>
      </c>
      <c r="D769" s="2">
        <v>1.909722222222222E-2</v>
      </c>
      <c r="E769">
        <v>5.64</v>
      </c>
      <c r="F769" s="2">
        <v>3.4375E-3</v>
      </c>
      <c r="G769">
        <v>12.11</v>
      </c>
      <c r="H769">
        <v>0</v>
      </c>
      <c r="I769">
        <v>150</v>
      </c>
      <c r="J769">
        <v>137</v>
      </c>
      <c r="K769">
        <v>447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</row>
    <row r="770" spans="1:16" x14ac:dyDescent="0.3">
      <c r="A770" s="1">
        <v>45257.739942129629</v>
      </c>
      <c r="B770" s="1">
        <v>45257.781307870369</v>
      </c>
      <c r="C770">
        <v>59.57</v>
      </c>
      <c r="D770" s="2">
        <v>4.1365740740740745E-2</v>
      </c>
      <c r="E770">
        <v>12.548</v>
      </c>
      <c r="F770" s="2">
        <v>3.2291666666666666E-3</v>
      </c>
      <c r="G770">
        <v>12.89</v>
      </c>
      <c r="H770">
        <v>0</v>
      </c>
      <c r="I770">
        <v>179</v>
      </c>
      <c r="J770">
        <v>158</v>
      </c>
      <c r="K770">
        <v>992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</row>
    <row r="771" spans="1:16" x14ac:dyDescent="0.3">
      <c r="A771" s="1">
        <v>45259.757789351854</v>
      </c>
      <c r="B771" s="1">
        <v>45259.801712962966</v>
      </c>
      <c r="C771">
        <v>63.25</v>
      </c>
      <c r="D771" s="2">
        <v>4.3923611111111115E-2</v>
      </c>
      <c r="E771">
        <v>13.096</v>
      </c>
      <c r="F771" s="2">
        <v>3.3449074074074071E-3</v>
      </c>
      <c r="G771">
        <v>12.42</v>
      </c>
      <c r="H771">
        <v>35.14</v>
      </c>
      <c r="I771">
        <v>161</v>
      </c>
      <c r="J771">
        <v>143</v>
      </c>
      <c r="K771">
        <v>899</v>
      </c>
      <c r="L771" s="2">
        <v>3.0671296296296297E-3</v>
      </c>
      <c r="M771" s="2">
        <v>1.6377314814814813E-2</v>
      </c>
      <c r="N771" s="2">
        <v>3.3275462962962958E-2</v>
      </c>
      <c r="O771" s="2">
        <v>0</v>
      </c>
      <c r="P771" s="2">
        <v>0</v>
      </c>
    </row>
    <row r="772" spans="1:16" x14ac:dyDescent="0.3">
      <c r="A772" s="1">
        <v>45261.590497685182</v>
      </c>
      <c r="B772" s="1">
        <v>45261.637777777774</v>
      </c>
      <c r="C772">
        <v>68.08</v>
      </c>
      <c r="D772" s="2">
        <v>4.7268518518518515E-2</v>
      </c>
      <c r="E772">
        <v>15.51</v>
      </c>
      <c r="F772" s="2">
        <v>3.0439814814814821E-3</v>
      </c>
      <c r="G772">
        <v>13.67</v>
      </c>
      <c r="H772">
        <v>19.41</v>
      </c>
      <c r="I772">
        <v>185</v>
      </c>
      <c r="J772">
        <v>159</v>
      </c>
      <c r="K772">
        <v>1075</v>
      </c>
      <c r="L772" s="2">
        <v>2.7777777777777779E-3</v>
      </c>
      <c r="M772" s="2">
        <v>1.4432870370370372E-2</v>
      </c>
      <c r="N772" s="2">
        <v>2.9363425925925921E-2</v>
      </c>
      <c r="O772" s="2">
        <v>0</v>
      </c>
      <c r="P772" s="2">
        <v>0</v>
      </c>
    </row>
    <row r="773" spans="1:16" x14ac:dyDescent="0.3">
      <c r="A773" s="1">
        <v>45262.907314814816</v>
      </c>
      <c r="B773" s="1">
        <v>45262.956157407411</v>
      </c>
      <c r="C773">
        <v>66.27</v>
      </c>
      <c r="D773" s="2">
        <v>4.6006944444444448E-2</v>
      </c>
      <c r="E773">
        <v>13.134</v>
      </c>
      <c r="F773" s="2">
        <v>3.4953703703703705E-3</v>
      </c>
      <c r="G773">
        <v>11.89</v>
      </c>
      <c r="H773">
        <v>27.25</v>
      </c>
      <c r="I773">
        <v>172</v>
      </c>
      <c r="J773">
        <v>152</v>
      </c>
      <c r="K773">
        <v>932</v>
      </c>
      <c r="L773" s="2">
        <v>3.2523148148148151E-3</v>
      </c>
      <c r="M773" s="2">
        <v>1.6921296296296299E-2</v>
      </c>
      <c r="N773" s="2">
        <v>3.4629629629629628E-2</v>
      </c>
      <c r="O773" s="2">
        <v>0</v>
      </c>
      <c r="P773" s="2">
        <v>0</v>
      </c>
    </row>
    <row r="774" spans="1:16" x14ac:dyDescent="0.3">
      <c r="A774" s="1">
        <v>45263.763252314813</v>
      </c>
      <c r="B774" s="1">
        <v>45263.788946759261</v>
      </c>
      <c r="C774">
        <v>37</v>
      </c>
      <c r="D774" s="2">
        <v>2.5694444444444447E-2</v>
      </c>
      <c r="E774">
        <v>7.4779999999999998</v>
      </c>
      <c r="F774" s="2">
        <v>3.1944444444444442E-3</v>
      </c>
      <c r="G774">
        <v>13.02</v>
      </c>
      <c r="H774">
        <v>0</v>
      </c>
      <c r="I774">
        <v>180</v>
      </c>
      <c r="J774">
        <v>151</v>
      </c>
      <c r="K774">
        <v>616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</row>
    <row r="775" spans="1:16" x14ac:dyDescent="0.3">
      <c r="A775" s="1">
        <v>45265.732256944444</v>
      </c>
      <c r="B775" s="1">
        <v>45265.773865740739</v>
      </c>
      <c r="C775">
        <v>59.92</v>
      </c>
      <c r="D775" s="2">
        <v>4.1597222222222223E-2</v>
      </c>
      <c r="E775">
        <v>12.29</v>
      </c>
      <c r="F775" s="2">
        <v>2.9629629629629628E-3</v>
      </c>
      <c r="G775">
        <v>14.02</v>
      </c>
      <c r="H775">
        <v>0</v>
      </c>
      <c r="I775">
        <v>180</v>
      </c>
      <c r="J775">
        <v>161</v>
      </c>
      <c r="K775">
        <v>998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</row>
    <row r="776" spans="1:16" x14ac:dyDescent="0.3">
      <c r="A776" s="1">
        <v>45266.904444444444</v>
      </c>
      <c r="B776" s="1">
        <v>45266.952476851853</v>
      </c>
      <c r="C776">
        <v>69.17</v>
      </c>
      <c r="D776" s="2">
        <v>4.8032407407407406E-2</v>
      </c>
      <c r="E776">
        <v>13.315</v>
      </c>
      <c r="F776" s="2">
        <v>3.5995370370370369E-3</v>
      </c>
      <c r="G776">
        <v>11.55</v>
      </c>
      <c r="H776">
        <v>21.83</v>
      </c>
      <c r="I776">
        <v>160</v>
      </c>
      <c r="J776">
        <v>141</v>
      </c>
      <c r="K776">
        <v>936</v>
      </c>
      <c r="L776" s="2">
        <v>3.37962962962963E-3</v>
      </c>
      <c r="M776" s="2">
        <v>1.758101851851852E-2</v>
      </c>
      <c r="N776" s="2">
        <v>3.5682870370370372E-2</v>
      </c>
      <c r="O776" s="2">
        <v>0</v>
      </c>
      <c r="P776" s="2">
        <v>0</v>
      </c>
    </row>
    <row r="777" spans="1:16" x14ac:dyDescent="0.3">
      <c r="A777" s="1">
        <v>45268.294965277775</v>
      </c>
      <c r="B777" s="1">
        <v>45268.387430555558</v>
      </c>
      <c r="C777">
        <v>130.53</v>
      </c>
      <c r="D777" s="2">
        <v>9.0636574074074064E-2</v>
      </c>
      <c r="E777">
        <v>27.106999999999999</v>
      </c>
      <c r="F777" s="2">
        <v>3.3333333333333335E-3</v>
      </c>
      <c r="G777">
        <v>12.46</v>
      </c>
      <c r="H777">
        <v>22.14</v>
      </c>
      <c r="I777">
        <v>179</v>
      </c>
      <c r="J777">
        <v>152</v>
      </c>
      <c r="K777">
        <v>1890</v>
      </c>
      <c r="L777" s="2">
        <v>3.0671296296296297E-3</v>
      </c>
      <c r="M777" s="2">
        <v>1.5833333333333335E-2</v>
      </c>
      <c r="N777" s="2">
        <v>3.2303240740740737E-2</v>
      </c>
      <c r="O777" s="2">
        <v>7.0069444444444448E-2</v>
      </c>
      <c r="P777" s="2">
        <v>0</v>
      </c>
    </row>
    <row r="778" spans="1:16" x14ac:dyDescent="0.3">
      <c r="A778" s="1">
        <v>45269.858587962961</v>
      </c>
      <c r="B778" s="1">
        <v>45269.912511574075</v>
      </c>
      <c r="C778">
        <v>65.73</v>
      </c>
      <c r="D778" s="2">
        <v>4.5648148148148153E-2</v>
      </c>
      <c r="E778">
        <v>13.206</v>
      </c>
      <c r="F778" s="2">
        <v>3.4490740740740745E-3</v>
      </c>
      <c r="G778">
        <v>12.05</v>
      </c>
      <c r="H778">
        <v>20.73</v>
      </c>
      <c r="I778">
        <v>174</v>
      </c>
      <c r="J778">
        <v>151</v>
      </c>
      <c r="K778">
        <v>932</v>
      </c>
      <c r="L778" s="2">
        <v>3.0324074074074073E-3</v>
      </c>
      <c r="M778" s="2">
        <v>1.6273148148148148E-2</v>
      </c>
      <c r="N778" s="2">
        <v>3.3738425925925929E-2</v>
      </c>
      <c r="O778" s="2">
        <v>0</v>
      </c>
      <c r="P778" s="2">
        <v>0</v>
      </c>
    </row>
    <row r="779" spans="1:16" x14ac:dyDescent="0.3">
      <c r="A779" s="1">
        <v>45271.731851851851</v>
      </c>
      <c r="B779" s="1">
        <v>45271.779780092591</v>
      </c>
      <c r="C779">
        <v>67.48</v>
      </c>
      <c r="D779" s="2">
        <v>4.6863425925925926E-2</v>
      </c>
      <c r="E779">
        <v>15.151999999999999</v>
      </c>
      <c r="F779" s="2">
        <v>3.0902777777777782E-3</v>
      </c>
      <c r="G779">
        <v>13.47</v>
      </c>
      <c r="H779">
        <v>21.19</v>
      </c>
      <c r="I779">
        <v>159</v>
      </c>
      <c r="J779">
        <v>142</v>
      </c>
      <c r="K779">
        <v>1009</v>
      </c>
      <c r="L779" s="2">
        <v>2.8703703703703708E-3</v>
      </c>
      <c r="M779" s="2">
        <v>1.4791666666666668E-2</v>
      </c>
      <c r="N779" s="2">
        <v>3.005787037037037E-2</v>
      </c>
      <c r="O779" s="2">
        <v>0</v>
      </c>
      <c r="P779" s="2">
        <v>0</v>
      </c>
    </row>
    <row r="780" spans="1:16" x14ac:dyDescent="0.3">
      <c r="A780" s="1">
        <v>45272.745983796296</v>
      </c>
      <c r="B780" s="1">
        <v>45272.773761574077</v>
      </c>
      <c r="C780">
        <v>40</v>
      </c>
      <c r="D780" s="2">
        <v>2.7777777777777776E-2</v>
      </c>
      <c r="E780">
        <v>8.2639999999999993</v>
      </c>
      <c r="F780" s="2">
        <v>3.2754629629629631E-3</v>
      </c>
      <c r="G780">
        <v>12.69</v>
      </c>
      <c r="H780">
        <v>0</v>
      </c>
      <c r="I780">
        <v>151</v>
      </c>
      <c r="J780">
        <v>139</v>
      </c>
      <c r="K780">
        <v>666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</row>
    <row r="781" spans="1:16" x14ac:dyDescent="0.3">
      <c r="A781" s="1">
        <v>45273.754189814812</v>
      </c>
      <c r="B781" s="1">
        <v>45273.790034722224</v>
      </c>
      <c r="C781">
        <v>51.18</v>
      </c>
      <c r="D781" s="2">
        <v>3.5532407407407408E-2</v>
      </c>
      <c r="E781">
        <v>10.303000000000001</v>
      </c>
      <c r="F781" s="2">
        <v>3.4490740740740745E-3</v>
      </c>
      <c r="G781">
        <v>12.08</v>
      </c>
      <c r="H781">
        <v>22.45</v>
      </c>
      <c r="I781">
        <v>166</v>
      </c>
      <c r="J781">
        <v>150</v>
      </c>
      <c r="K781">
        <v>719</v>
      </c>
      <c r="L781" s="2">
        <v>3.2291666666666666E-3</v>
      </c>
      <c r="M781" s="2">
        <v>1.6770833333333332E-2</v>
      </c>
      <c r="N781" s="2">
        <v>3.4386574074074076E-2</v>
      </c>
      <c r="O781" s="2">
        <v>0</v>
      </c>
      <c r="P781" s="2">
        <v>0</v>
      </c>
    </row>
    <row r="782" spans="1:16" x14ac:dyDescent="0.3">
      <c r="A782" s="1">
        <v>45275.21638888889</v>
      </c>
      <c r="B782" s="1">
        <v>45275.33494212963</v>
      </c>
      <c r="C782">
        <v>157.87</v>
      </c>
      <c r="D782" s="2">
        <v>0.10962962962962963</v>
      </c>
      <c r="E782">
        <v>32.232999999999997</v>
      </c>
      <c r="F782" s="2">
        <v>3.3912037037037036E-3</v>
      </c>
      <c r="G782">
        <v>12.25</v>
      </c>
      <c r="H782">
        <v>15.08</v>
      </c>
      <c r="I782">
        <v>167</v>
      </c>
      <c r="J782">
        <v>144</v>
      </c>
      <c r="K782">
        <v>2226</v>
      </c>
      <c r="L782" s="2">
        <v>3.1134259259259257E-3</v>
      </c>
      <c r="M782" s="2">
        <v>1.59375E-2</v>
      </c>
      <c r="N782" s="2">
        <v>3.2719907407407406E-2</v>
      </c>
      <c r="O782" s="2">
        <v>7.0185185185185184E-2</v>
      </c>
      <c r="P782" s="2">
        <v>0</v>
      </c>
    </row>
    <row r="783" spans="1:16" x14ac:dyDescent="0.3">
      <c r="A783" s="1">
        <v>45277.755532407406</v>
      </c>
      <c r="B783" s="1">
        <v>45277.793634259258</v>
      </c>
      <c r="C783">
        <v>54.87</v>
      </c>
      <c r="D783" s="2">
        <v>3.8101851851851852E-2</v>
      </c>
      <c r="E783">
        <v>10.361000000000001</v>
      </c>
      <c r="F783" s="2">
        <v>3.425925925925926E-3</v>
      </c>
      <c r="G783">
        <v>12.14</v>
      </c>
      <c r="H783">
        <v>16.63</v>
      </c>
      <c r="I783">
        <v>161</v>
      </c>
      <c r="J783">
        <v>135</v>
      </c>
      <c r="K783">
        <v>895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</row>
    <row r="784" spans="1:16" x14ac:dyDescent="0.3">
      <c r="A784" s="1">
        <v>45281.807916666665</v>
      </c>
      <c r="B784" s="1">
        <v>45281.832870370374</v>
      </c>
      <c r="C784">
        <v>35.93</v>
      </c>
      <c r="D784" s="2">
        <v>2.494212962962963E-2</v>
      </c>
      <c r="E784">
        <v>6.3049999999999997</v>
      </c>
      <c r="F784" s="2">
        <v>3.9467592592592592E-3</v>
      </c>
      <c r="G784">
        <v>10.53</v>
      </c>
      <c r="H784">
        <v>12.36</v>
      </c>
      <c r="I784">
        <v>157</v>
      </c>
      <c r="J784">
        <v>141</v>
      </c>
      <c r="K784">
        <v>460</v>
      </c>
      <c r="L784" s="2">
        <v>3.7384259259259263E-3</v>
      </c>
      <c r="M784" s="2">
        <v>1.9641203703703706E-2</v>
      </c>
      <c r="N784" s="2">
        <v>0</v>
      </c>
      <c r="O784" s="2">
        <v>0</v>
      </c>
      <c r="P784" s="2">
        <v>0</v>
      </c>
    </row>
    <row r="785" spans="1:16" x14ac:dyDescent="0.3">
      <c r="A785" s="1">
        <v>45287.738263888888</v>
      </c>
      <c r="B785" s="1">
        <v>45287.750787037039</v>
      </c>
      <c r="C785">
        <v>18.03</v>
      </c>
      <c r="D785" s="2">
        <v>1.252314814814815E-2</v>
      </c>
      <c r="E785">
        <v>2.8780000000000001</v>
      </c>
      <c r="F785" s="2">
        <v>3.8657407407407408E-3</v>
      </c>
      <c r="G785">
        <v>10.75</v>
      </c>
      <c r="H785">
        <v>12.56</v>
      </c>
      <c r="I785">
        <v>142</v>
      </c>
      <c r="J785">
        <v>127</v>
      </c>
      <c r="K785">
        <v>263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</row>
    <row r="786" spans="1:16" x14ac:dyDescent="0.3">
      <c r="A786" s="1">
        <v>45288.741493055553</v>
      </c>
      <c r="B786" s="1">
        <v>45288.763472222221</v>
      </c>
      <c r="C786">
        <v>31.65</v>
      </c>
      <c r="D786" s="2">
        <v>2.1967592592592594E-2</v>
      </c>
      <c r="E786">
        <v>5.5540000000000003</v>
      </c>
      <c r="F786" s="2">
        <v>3.9467592592592592E-3</v>
      </c>
      <c r="G786">
        <v>10.53</v>
      </c>
      <c r="H786">
        <v>11.76</v>
      </c>
      <c r="I786">
        <v>155</v>
      </c>
      <c r="J786">
        <v>142</v>
      </c>
      <c r="K786">
        <v>408</v>
      </c>
      <c r="L786" s="2">
        <v>3.7384259259259263E-3</v>
      </c>
      <c r="M786" s="2">
        <v>1.9699074074074074E-2</v>
      </c>
      <c r="N786" s="2">
        <v>0</v>
      </c>
      <c r="O786" s="2">
        <v>0</v>
      </c>
      <c r="P786" s="2">
        <v>0</v>
      </c>
    </row>
    <row r="787" spans="1:16" x14ac:dyDescent="0.3">
      <c r="A787" s="1">
        <v>45292.743900462963</v>
      </c>
      <c r="B787" s="1">
        <v>45292.768229166664</v>
      </c>
      <c r="C787">
        <v>33.1</v>
      </c>
      <c r="D787" s="2">
        <v>2.298611111111111E-2</v>
      </c>
      <c r="E787">
        <v>6.32</v>
      </c>
      <c r="F787" s="2">
        <v>3.6342592592592594E-3</v>
      </c>
      <c r="G787">
        <v>11.46</v>
      </c>
      <c r="H787">
        <v>13.1</v>
      </c>
      <c r="I787">
        <v>166</v>
      </c>
      <c r="J787">
        <v>151</v>
      </c>
      <c r="K787">
        <v>452</v>
      </c>
      <c r="L787" s="2">
        <v>3.4027777777777784E-3</v>
      </c>
      <c r="M787" s="2">
        <v>1.7546296296296296E-2</v>
      </c>
      <c r="N787" s="2">
        <v>0</v>
      </c>
      <c r="O787" s="2">
        <v>0</v>
      </c>
      <c r="P787" s="2">
        <v>0</v>
      </c>
    </row>
    <row r="788" spans="1:16" x14ac:dyDescent="0.3">
      <c r="A788" s="1">
        <v>45299.742581018516</v>
      </c>
      <c r="B788" s="1">
        <v>45299.780844907407</v>
      </c>
      <c r="C788">
        <v>47.15</v>
      </c>
      <c r="D788" s="2">
        <v>3.2731481481481479E-2</v>
      </c>
      <c r="E788">
        <v>8.2560000000000002</v>
      </c>
      <c r="F788" s="2">
        <v>3.9583333333333337E-3</v>
      </c>
      <c r="G788">
        <v>10.51</v>
      </c>
      <c r="H788">
        <v>14.61</v>
      </c>
      <c r="I788">
        <v>158</v>
      </c>
      <c r="J788">
        <v>130</v>
      </c>
      <c r="K788">
        <v>584</v>
      </c>
      <c r="L788" s="2">
        <v>3.1828703703703702E-3</v>
      </c>
      <c r="M788" s="2">
        <v>1.7719907407407406E-2</v>
      </c>
      <c r="N788" s="2">
        <v>0</v>
      </c>
      <c r="O788" s="2">
        <v>0</v>
      </c>
      <c r="P788" s="2">
        <v>0</v>
      </c>
    </row>
    <row r="789" spans="1:16" x14ac:dyDescent="0.3">
      <c r="A789" s="1">
        <v>45301.732118055559</v>
      </c>
      <c r="B789" s="1">
        <v>45301.755416666667</v>
      </c>
      <c r="C789">
        <v>32.93</v>
      </c>
      <c r="D789" s="2">
        <v>2.2858796296296294E-2</v>
      </c>
      <c r="E789">
        <v>6.0629999999999997</v>
      </c>
      <c r="F789" s="2">
        <v>3.7615740740740739E-3</v>
      </c>
      <c r="G789">
        <v>11.05</v>
      </c>
      <c r="H789">
        <v>13.13</v>
      </c>
      <c r="I789">
        <v>165</v>
      </c>
      <c r="J789">
        <v>148</v>
      </c>
      <c r="K789">
        <v>440</v>
      </c>
      <c r="L789" s="2">
        <v>3.4953703703703705E-3</v>
      </c>
      <c r="M789" s="2">
        <v>1.8576388888888889E-2</v>
      </c>
      <c r="N789" s="2">
        <v>0</v>
      </c>
      <c r="O789" s="2">
        <v>0</v>
      </c>
      <c r="P789" s="2">
        <v>0</v>
      </c>
    </row>
    <row r="790" spans="1:16" x14ac:dyDescent="0.3">
      <c r="A790" s="1">
        <v>45304.853877314818</v>
      </c>
      <c r="B790" s="1">
        <v>45304.875902777778</v>
      </c>
      <c r="C790">
        <v>31.72</v>
      </c>
      <c r="D790" s="2">
        <v>2.2013888888888888E-2</v>
      </c>
      <c r="E790">
        <v>5.5519999999999996</v>
      </c>
      <c r="F790" s="2">
        <v>3.9583333333333337E-3</v>
      </c>
      <c r="G790">
        <v>10.5</v>
      </c>
      <c r="H790">
        <v>11.82</v>
      </c>
      <c r="I790">
        <v>143</v>
      </c>
      <c r="J790">
        <v>128</v>
      </c>
      <c r="K790">
        <v>382</v>
      </c>
      <c r="L790" s="2">
        <v>3.8657407407407408E-3</v>
      </c>
      <c r="M790" s="2">
        <v>1.9791666666666666E-2</v>
      </c>
      <c r="N790" s="2">
        <v>0</v>
      </c>
      <c r="O790" s="2">
        <v>0</v>
      </c>
      <c r="P790" s="2">
        <v>0</v>
      </c>
    </row>
    <row r="791" spans="1:16" x14ac:dyDescent="0.3">
      <c r="A791" s="1">
        <v>45306.712893518517</v>
      </c>
      <c r="B791" s="1">
        <v>45306.743437500001</v>
      </c>
      <c r="C791">
        <v>41.43</v>
      </c>
      <c r="D791" s="2">
        <v>2.8761574074074075E-2</v>
      </c>
      <c r="E791">
        <v>7.25</v>
      </c>
      <c r="F791" s="2">
        <v>3.9583333333333337E-3</v>
      </c>
      <c r="G791">
        <v>10.5</v>
      </c>
      <c r="H791">
        <v>14.11</v>
      </c>
      <c r="I791">
        <v>169</v>
      </c>
      <c r="J791">
        <v>138</v>
      </c>
      <c r="K791">
        <v>517</v>
      </c>
      <c r="L791" s="2">
        <v>3.414351851851852E-3</v>
      </c>
      <c r="M791" s="2">
        <v>1.9050925925925926E-2</v>
      </c>
      <c r="N791" s="2">
        <v>0</v>
      </c>
      <c r="O791" s="2">
        <v>0</v>
      </c>
      <c r="P791" s="2">
        <v>0</v>
      </c>
    </row>
    <row r="792" spans="1:16" x14ac:dyDescent="0.3">
      <c r="A792" s="1">
        <v>45307.70484953704</v>
      </c>
      <c r="B792" s="1">
        <v>45307.726215277777</v>
      </c>
      <c r="C792">
        <v>30.77</v>
      </c>
      <c r="D792" s="2">
        <v>2.1354166666666664E-2</v>
      </c>
      <c r="E792">
        <v>6.056</v>
      </c>
      <c r="F792" s="2">
        <v>3.5185185185185185E-3</v>
      </c>
      <c r="G792">
        <v>11.81</v>
      </c>
      <c r="H792">
        <v>13.3</v>
      </c>
      <c r="I792">
        <v>160</v>
      </c>
      <c r="J792">
        <v>143</v>
      </c>
      <c r="K792">
        <v>420</v>
      </c>
      <c r="L792" s="2">
        <v>3.2870370370370367E-3</v>
      </c>
      <c r="M792" s="2">
        <v>1.7476851851851851E-2</v>
      </c>
      <c r="N792" s="2">
        <v>0</v>
      </c>
      <c r="O792" s="2">
        <v>0</v>
      </c>
      <c r="P792" s="2">
        <v>0</v>
      </c>
    </row>
    <row r="793" spans="1:16" x14ac:dyDescent="0.3">
      <c r="A793" s="1">
        <v>45310.211956018517</v>
      </c>
      <c r="B793" s="1">
        <v>45310.33321759259</v>
      </c>
      <c r="C793">
        <v>119.2</v>
      </c>
      <c r="D793" s="2">
        <v>8.2777777777777783E-2</v>
      </c>
      <c r="E793">
        <v>21.125</v>
      </c>
      <c r="F793" s="2">
        <v>3.9120370370370368E-3</v>
      </c>
      <c r="G793">
        <v>10.63</v>
      </c>
      <c r="H793">
        <v>12.83</v>
      </c>
      <c r="I793">
        <v>164</v>
      </c>
      <c r="J793">
        <v>139</v>
      </c>
      <c r="K793">
        <v>1498</v>
      </c>
      <c r="L793" s="2">
        <v>3.6111111111111114E-3</v>
      </c>
      <c r="M793" s="2">
        <v>1.8784722222222223E-2</v>
      </c>
      <c r="N793" s="2">
        <v>3.8206018518518521E-2</v>
      </c>
      <c r="O793" s="2">
        <v>8.2696759259259262E-2</v>
      </c>
      <c r="P793" s="2">
        <v>0</v>
      </c>
    </row>
    <row r="794" spans="1:16" x14ac:dyDescent="0.3">
      <c r="A794" s="1">
        <v>45313.713391203702</v>
      </c>
      <c r="B794" s="1">
        <v>45313.758900462963</v>
      </c>
      <c r="C794">
        <v>63.03</v>
      </c>
      <c r="D794" s="2">
        <v>4.3761574074074078E-2</v>
      </c>
      <c r="E794">
        <v>11.11</v>
      </c>
      <c r="F794" s="2">
        <v>3.9351851851851857E-3</v>
      </c>
      <c r="G794">
        <v>10.58</v>
      </c>
      <c r="H794">
        <v>12.9</v>
      </c>
      <c r="I794">
        <v>162</v>
      </c>
      <c r="J794">
        <v>130</v>
      </c>
      <c r="K794">
        <v>781</v>
      </c>
      <c r="L794" s="2">
        <v>3.4375E-3</v>
      </c>
      <c r="M794" s="2">
        <v>1.7638888888888888E-2</v>
      </c>
      <c r="N794" s="2">
        <v>3.858796296296297E-2</v>
      </c>
      <c r="O794" s="2">
        <v>0</v>
      </c>
      <c r="P794" s="2">
        <v>0</v>
      </c>
    </row>
    <row r="795" spans="1:16" x14ac:dyDescent="0.3">
      <c r="A795" s="1">
        <v>45314.746527777781</v>
      </c>
      <c r="B795" s="1">
        <v>45314.776030092595</v>
      </c>
      <c r="C795">
        <v>42.48</v>
      </c>
      <c r="D795" s="2">
        <v>2.9502314814814815E-2</v>
      </c>
      <c r="E795">
        <v>7.9480000000000004</v>
      </c>
      <c r="F795" s="2">
        <v>3.5532407407407405E-3</v>
      </c>
      <c r="G795">
        <v>11.72</v>
      </c>
      <c r="H795">
        <v>12.53</v>
      </c>
      <c r="I795">
        <v>158</v>
      </c>
      <c r="J795">
        <v>136</v>
      </c>
      <c r="K795">
        <v>671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</row>
    <row r="796" spans="1:16" x14ac:dyDescent="0.3">
      <c r="A796" s="1">
        <v>45320.714247685188</v>
      </c>
      <c r="B796" s="1">
        <v>45320.753877314812</v>
      </c>
      <c r="C796">
        <v>53.27</v>
      </c>
      <c r="D796" s="2">
        <v>3.6979166666666667E-2</v>
      </c>
      <c r="E796">
        <v>11.116</v>
      </c>
      <c r="F796" s="2">
        <v>3.3217592592592591E-3</v>
      </c>
      <c r="G796">
        <v>12.52</v>
      </c>
      <c r="H796">
        <v>15.79</v>
      </c>
      <c r="I796">
        <v>164</v>
      </c>
      <c r="J796">
        <v>135</v>
      </c>
      <c r="K796">
        <v>764</v>
      </c>
      <c r="L796" s="2">
        <v>2.9745370370370373E-3</v>
      </c>
      <c r="M796" s="2">
        <v>1.59375E-2</v>
      </c>
      <c r="N796" s="2">
        <v>3.2881944444444443E-2</v>
      </c>
      <c r="O796" s="2">
        <v>0</v>
      </c>
      <c r="P796" s="2">
        <v>0</v>
      </c>
    </row>
    <row r="797" spans="1:16" x14ac:dyDescent="0.3">
      <c r="A797" s="1">
        <v>45321.743483796294</v>
      </c>
      <c r="B797" s="1">
        <v>45321.78528935185</v>
      </c>
      <c r="C797">
        <v>60.2</v>
      </c>
      <c r="D797" s="2">
        <v>4.1805555555555561E-2</v>
      </c>
      <c r="E797">
        <v>11.782999999999999</v>
      </c>
      <c r="F797" s="2">
        <v>3.4490740740740745E-3</v>
      </c>
      <c r="G797">
        <v>12.06</v>
      </c>
      <c r="H797">
        <v>13.98</v>
      </c>
      <c r="I797">
        <v>160</v>
      </c>
      <c r="J797">
        <v>143</v>
      </c>
      <c r="K797">
        <v>976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</row>
    <row r="798" spans="1:16" x14ac:dyDescent="0.3">
      <c r="A798" s="1">
        <v>45324.26253472222</v>
      </c>
      <c r="B798" s="1">
        <v>45324.414837962962</v>
      </c>
      <c r="C798">
        <v>219.32</v>
      </c>
      <c r="D798" s="2">
        <v>0.15229166666666666</v>
      </c>
      <c r="E798">
        <v>42.3</v>
      </c>
      <c r="F798" s="2">
        <v>3.5995370370370369E-3</v>
      </c>
      <c r="G798">
        <v>11.57</v>
      </c>
      <c r="H798">
        <v>15.69</v>
      </c>
      <c r="I798">
        <v>172</v>
      </c>
      <c r="J798">
        <v>154</v>
      </c>
      <c r="K798">
        <v>3012</v>
      </c>
      <c r="L798" s="2">
        <v>3.2407407407407406E-3</v>
      </c>
      <c r="M798" s="2">
        <v>1.6851851851851851E-2</v>
      </c>
      <c r="N798" s="2">
        <v>3.4479166666666665E-2</v>
      </c>
      <c r="O798" s="2">
        <v>7.4594907407407415E-2</v>
      </c>
      <c r="P798" s="2">
        <v>0.15201388888888889</v>
      </c>
    </row>
    <row r="799" spans="1:16" x14ac:dyDescent="0.3">
      <c r="A799" s="1">
        <v>45326.757488425923</v>
      </c>
      <c r="B799" s="1">
        <v>45326.77888888889</v>
      </c>
      <c r="C799">
        <v>30.55</v>
      </c>
      <c r="D799" s="2">
        <v>2.1215277777777777E-2</v>
      </c>
      <c r="E799">
        <v>5.5430000000000001</v>
      </c>
      <c r="F799" s="2">
        <v>3.8194444444444443E-3</v>
      </c>
      <c r="G799">
        <v>10.9</v>
      </c>
      <c r="H799">
        <v>12.63</v>
      </c>
      <c r="I799">
        <v>149</v>
      </c>
      <c r="J799">
        <v>135</v>
      </c>
      <c r="K799">
        <v>451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</row>
    <row r="800" spans="1:16" x14ac:dyDescent="0.3">
      <c r="A800" s="1">
        <v>45327.711446759262</v>
      </c>
      <c r="B800" s="1">
        <v>45327.749814814815</v>
      </c>
      <c r="C800">
        <v>53.24</v>
      </c>
      <c r="D800" s="2">
        <v>3.6967592592592594E-2</v>
      </c>
      <c r="E800">
        <v>11.114000000000001</v>
      </c>
      <c r="F800" s="2">
        <v>3.3217592592592591E-3</v>
      </c>
      <c r="G800">
        <v>12.52</v>
      </c>
      <c r="H800">
        <v>15.62</v>
      </c>
      <c r="I800">
        <v>173</v>
      </c>
      <c r="J800">
        <v>149</v>
      </c>
      <c r="K800">
        <v>757</v>
      </c>
      <c r="L800" s="2">
        <v>2.7893518518518519E-3</v>
      </c>
      <c r="M800" s="2">
        <v>1.5208333333333332E-2</v>
      </c>
      <c r="N800" s="2">
        <v>3.2731481481481479E-2</v>
      </c>
      <c r="O800" s="2">
        <v>0</v>
      </c>
      <c r="P800" s="2">
        <v>0</v>
      </c>
    </row>
    <row r="801" spans="1:16" x14ac:dyDescent="0.3">
      <c r="A801" s="1">
        <v>45329.738252314812</v>
      </c>
      <c r="B801" s="1">
        <v>45329.756053240744</v>
      </c>
      <c r="C801">
        <v>25.63</v>
      </c>
      <c r="D801" s="2">
        <v>1.7789351851851851E-2</v>
      </c>
      <c r="E801">
        <v>5.0510000000000002</v>
      </c>
      <c r="F801" s="2">
        <v>3.5185185185185185E-3</v>
      </c>
      <c r="G801">
        <v>11.82</v>
      </c>
      <c r="H801">
        <v>15.65</v>
      </c>
      <c r="I801">
        <v>152</v>
      </c>
      <c r="J801">
        <v>137</v>
      </c>
      <c r="K801">
        <v>408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</row>
    <row r="802" spans="1:16" x14ac:dyDescent="0.3">
      <c r="A802" s="1">
        <v>45331.632337962961</v>
      </c>
      <c r="B802" s="1">
        <v>45331.673090277778</v>
      </c>
      <c r="C802">
        <v>58.69</v>
      </c>
      <c r="D802" s="2">
        <v>4.0752314814814811E-2</v>
      </c>
      <c r="E802">
        <v>12.128</v>
      </c>
      <c r="F802" s="2">
        <v>3.3564814814814811E-3</v>
      </c>
      <c r="G802">
        <v>12.4</v>
      </c>
      <c r="H802">
        <v>15.05</v>
      </c>
      <c r="I802">
        <v>169</v>
      </c>
      <c r="J802">
        <v>151</v>
      </c>
      <c r="K802">
        <v>844</v>
      </c>
      <c r="L802" s="2">
        <v>3.0555555555555557E-3</v>
      </c>
      <c r="M802" s="2">
        <v>1.5949074074074074E-2</v>
      </c>
      <c r="N802" s="2">
        <v>3.3206018518518517E-2</v>
      </c>
      <c r="O802" s="2">
        <v>0</v>
      </c>
      <c r="P802" s="2">
        <v>0</v>
      </c>
    </row>
    <row r="803" spans="1:16" x14ac:dyDescent="0.3">
      <c r="A803" s="1">
        <v>45332.792118055557</v>
      </c>
      <c r="B803" s="1">
        <v>45332.827187499999</v>
      </c>
      <c r="C803">
        <v>50.43</v>
      </c>
      <c r="D803" s="2">
        <v>3.5011574074074077E-2</v>
      </c>
      <c r="E803">
        <v>10.154999999999999</v>
      </c>
      <c r="F803" s="2">
        <v>3.4375E-3</v>
      </c>
      <c r="G803">
        <v>12.08</v>
      </c>
      <c r="H803">
        <v>14.41</v>
      </c>
      <c r="I803">
        <v>170</v>
      </c>
      <c r="J803">
        <v>149</v>
      </c>
      <c r="K803">
        <v>704</v>
      </c>
      <c r="L803" s="2">
        <v>3.1712962962962958E-3</v>
      </c>
      <c r="M803" s="2">
        <v>1.6701388888888887E-2</v>
      </c>
      <c r="N803" s="2">
        <v>3.4456018518518518E-2</v>
      </c>
      <c r="O803" s="2">
        <v>0</v>
      </c>
      <c r="P803" s="2">
        <v>0</v>
      </c>
    </row>
    <row r="804" spans="1:16" x14ac:dyDescent="0.3">
      <c r="A804" s="1">
        <v>45333.751400462963</v>
      </c>
      <c r="B804" s="1">
        <v>45333.773287037038</v>
      </c>
      <c r="C804">
        <v>31.52</v>
      </c>
      <c r="D804" s="2">
        <v>2.1886574074074072E-2</v>
      </c>
      <c r="E804">
        <v>6.1539999999999999</v>
      </c>
      <c r="F804" s="2">
        <v>3.5532407407407405E-3</v>
      </c>
      <c r="G804">
        <v>11.71</v>
      </c>
      <c r="H804">
        <v>16.63</v>
      </c>
      <c r="I804">
        <v>140</v>
      </c>
      <c r="J804">
        <v>130</v>
      </c>
      <c r="K804">
        <v>369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</row>
    <row r="805" spans="1:16" x14ac:dyDescent="0.3">
      <c r="A805" s="1">
        <v>45334.712233796294</v>
      </c>
      <c r="B805" s="1">
        <v>45334.74560185185</v>
      </c>
      <c r="C805">
        <v>46.43</v>
      </c>
      <c r="D805" s="2">
        <v>3.2245370370370369E-2</v>
      </c>
      <c r="E805">
        <v>10.121</v>
      </c>
      <c r="F805" s="2">
        <v>3.1828703703703702E-3</v>
      </c>
      <c r="G805">
        <v>13.08</v>
      </c>
      <c r="H805">
        <v>15.25</v>
      </c>
      <c r="I805">
        <v>179</v>
      </c>
      <c r="J805">
        <v>152</v>
      </c>
      <c r="K805">
        <v>676</v>
      </c>
      <c r="L805" s="2">
        <v>2.7546296296296294E-3</v>
      </c>
      <c r="M805" s="2">
        <v>1.4652777777777778E-2</v>
      </c>
      <c r="N805" s="2">
        <v>3.1759259259259258E-2</v>
      </c>
      <c r="O805" s="2">
        <v>0</v>
      </c>
      <c r="P805" s="2">
        <v>0</v>
      </c>
    </row>
    <row r="806" spans="1:16" x14ac:dyDescent="0.3">
      <c r="A806" s="1">
        <v>45336.722488425927</v>
      </c>
      <c r="B806" s="1">
        <v>45336.756655092591</v>
      </c>
      <c r="C806">
        <v>48.17</v>
      </c>
      <c r="D806" s="2">
        <v>3.3449074074074069E-2</v>
      </c>
      <c r="E806">
        <v>10.504</v>
      </c>
      <c r="F806" s="2">
        <v>3.1828703703703702E-3</v>
      </c>
      <c r="G806">
        <v>13.08</v>
      </c>
      <c r="H806">
        <v>16.260000000000002</v>
      </c>
      <c r="I806">
        <v>168</v>
      </c>
      <c r="J806">
        <v>149</v>
      </c>
      <c r="K806">
        <v>695</v>
      </c>
      <c r="L806" s="2">
        <v>2.9976851851851848E-3</v>
      </c>
      <c r="M806" s="2">
        <v>1.5486111111111112E-2</v>
      </c>
      <c r="N806" s="2">
        <v>3.1631944444444442E-2</v>
      </c>
      <c r="O806" s="2">
        <v>0</v>
      </c>
      <c r="P806" s="2">
        <v>0</v>
      </c>
    </row>
    <row r="807" spans="1:16" x14ac:dyDescent="0.3">
      <c r="A807" s="1">
        <v>45338.401099537034</v>
      </c>
      <c r="B807" s="1">
        <v>45338.457569444443</v>
      </c>
      <c r="C807">
        <v>79.13</v>
      </c>
      <c r="D807" s="2">
        <v>5.4942129629629632E-2</v>
      </c>
      <c r="E807">
        <v>16.053000000000001</v>
      </c>
      <c r="F807" s="2">
        <v>3.414351851851852E-3</v>
      </c>
      <c r="G807">
        <v>12.17</v>
      </c>
      <c r="H807">
        <v>16.02</v>
      </c>
      <c r="I807">
        <v>171</v>
      </c>
      <c r="J807">
        <v>150</v>
      </c>
      <c r="K807">
        <v>1125</v>
      </c>
      <c r="L807" s="2">
        <v>2.8009259259259259E-3</v>
      </c>
      <c r="M807" s="2">
        <v>1.5763888888888886E-2</v>
      </c>
      <c r="N807" s="2">
        <v>3.3009259259259259E-2</v>
      </c>
      <c r="O807" s="2">
        <v>0</v>
      </c>
      <c r="P807" s="2">
        <v>0</v>
      </c>
    </row>
    <row r="808" spans="1:16" x14ac:dyDescent="0.3">
      <c r="A808" s="1">
        <v>45339.868993055556</v>
      </c>
      <c r="B808" s="1">
        <v>45339.910173611112</v>
      </c>
      <c r="C808">
        <v>59.31</v>
      </c>
      <c r="D808" s="2">
        <v>4.1180555555555554E-2</v>
      </c>
      <c r="E808">
        <v>11.11</v>
      </c>
      <c r="F808" s="2">
        <v>3.7037037037037034E-3</v>
      </c>
      <c r="G808">
        <v>11.24</v>
      </c>
      <c r="H808">
        <v>13.87</v>
      </c>
      <c r="I808">
        <v>169</v>
      </c>
      <c r="J808">
        <v>150</v>
      </c>
      <c r="K808">
        <v>801</v>
      </c>
      <c r="L808" s="2">
        <v>3.2986111111111111E-3</v>
      </c>
      <c r="M808" s="2">
        <v>1.7881944444444443E-2</v>
      </c>
      <c r="N808" s="2">
        <v>3.6782407407407409E-2</v>
      </c>
      <c r="O808" s="2">
        <v>0</v>
      </c>
      <c r="P808" s="2">
        <v>0</v>
      </c>
    </row>
    <row r="809" spans="1:16" x14ac:dyDescent="0.3">
      <c r="A809" s="1">
        <v>45341.711759259262</v>
      </c>
      <c r="B809" s="1">
        <v>45341.756562499999</v>
      </c>
      <c r="C809">
        <v>62.28</v>
      </c>
      <c r="D809" s="2">
        <v>4.3240740740740739E-2</v>
      </c>
      <c r="E809">
        <v>12.603</v>
      </c>
      <c r="F809" s="2">
        <v>3.425925925925926E-3</v>
      </c>
      <c r="G809">
        <v>12.14</v>
      </c>
      <c r="H809">
        <v>15.58</v>
      </c>
      <c r="I809">
        <v>168</v>
      </c>
      <c r="J809">
        <v>143</v>
      </c>
      <c r="K809">
        <v>829</v>
      </c>
      <c r="L809" s="2">
        <v>2.8124999999999995E-3</v>
      </c>
      <c r="M809" s="2">
        <v>1.6064814814814813E-2</v>
      </c>
      <c r="N809" s="2">
        <v>3.2569444444444443E-2</v>
      </c>
      <c r="O809" s="2">
        <v>0</v>
      </c>
      <c r="P809" s="2">
        <v>0</v>
      </c>
    </row>
    <row r="810" spans="1:16" x14ac:dyDescent="0.3">
      <c r="A810" s="1">
        <v>45343.720497685186</v>
      </c>
      <c r="B810" s="1">
        <v>45343.755370370367</v>
      </c>
      <c r="C810">
        <v>50.22</v>
      </c>
      <c r="D810" s="2">
        <v>3.4872685185185187E-2</v>
      </c>
      <c r="E810">
        <v>10.163</v>
      </c>
      <c r="F810" s="2">
        <v>3.4490740740740745E-3</v>
      </c>
      <c r="G810">
        <v>12.07</v>
      </c>
      <c r="H810">
        <v>15.22</v>
      </c>
      <c r="I810">
        <v>171</v>
      </c>
      <c r="J810">
        <v>153</v>
      </c>
      <c r="K810">
        <v>815</v>
      </c>
      <c r="L810" s="2">
        <v>3.645833333333333E-3</v>
      </c>
      <c r="M810" s="2">
        <v>1.7256944444444446E-2</v>
      </c>
      <c r="N810" s="2">
        <v>3.4525462962962966E-2</v>
      </c>
      <c r="O810" s="2">
        <v>0</v>
      </c>
      <c r="P810" s="2">
        <v>0</v>
      </c>
    </row>
    <row r="811" spans="1:16" x14ac:dyDescent="0.3">
      <c r="A811" s="1">
        <v>45345.368831018517</v>
      </c>
      <c r="B811" s="1">
        <v>45345.402245370373</v>
      </c>
      <c r="C811">
        <v>48.12</v>
      </c>
      <c r="D811" s="2">
        <v>3.3414351851851855E-2</v>
      </c>
      <c r="E811">
        <v>11.31</v>
      </c>
      <c r="F811" s="2">
        <v>2.9513888888888888E-3</v>
      </c>
      <c r="G811">
        <v>14.1</v>
      </c>
      <c r="H811">
        <v>17.7</v>
      </c>
      <c r="I811">
        <v>179</v>
      </c>
      <c r="J811">
        <v>167</v>
      </c>
      <c r="K811">
        <v>783</v>
      </c>
      <c r="L811" s="2">
        <v>2.673611111111111E-3</v>
      </c>
      <c r="M811" s="2">
        <v>1.4004629629629631E-2</v>
      </c>
      <c r="N811" s="2">
        <v>2.9212962962962965E-2</v>
      </c>
      <c r="O811" s="2">
        <v>0</v>
      </c>
      <c r="P811" s="2">
        <v>0</v>
      </c>
    </row>
    <row r="812" spans="1:16" x14ac:dyDescent="0.3">
      <c r="A812" s="1">
        <v>45346.92690972222</v>
      </c>
      <c r="B812" s="1">
        <v>45346.972141203703</v>
      </c>
      <c r="C812">
        <v>65.14</v>
      </c>
      <c r="D812" s="2">
        <v>4.5231481481481484E-2</v>
      </c>
      <c r="E812">
        <v>12.212999999999999</v>
      </c>
      <c r="F812" s="2">
        <v>3.7037037037037034E-3</v>
      </c>
      <c r="G812">
        <v>11.25</v>
      </c>
      <c r="H812">
        <v>12.56</v>
      </c>
      <c r="I812">
        <v>160</v>
      </c>
      <c r="J812">
        <v>137</v>
      </c>
      <c r="K812">
        <v>857</v>
      </c>
      <c r="L812" s="2">
        <v>3.483796296296296E-3</v>
      </c>
      <c r="M812" s="2">
        <v>1.8310185185185186E-2</v>
      </c>
      <c r="N812" s="2">
        <v>3.6886574074074079E-2</v>
      </c>
      <c r="O812" s="2">
        <v>0</v>
      </c>
      <c r="P812" s="2">
        <v>0</v>
      </c>
    </row>
    <row r="813" spans="1:16" x14ac:dyDescent="0.3">
      <c r="A813" s="1">
        <v>45348.712812500002</v>
      </c>
      <c r="B813" s="1">
        <v>45348.766365740739</v>
      </c>
      <c r="C813">
        <v>59.63</v>
      </c>
      <c r="D813" s="2">
        <v>4.1412037037037039E-2</v>
      </c>
      <c r="E813">
        <v>11.013</v>
      </c>
      <c r="F813" s="2">
        <v>3.7500000000000003E-3</v>
      </c>
      <c r="G813">
        <v>11.08</v>
      </c>
      <c r="H813">
        <v>36.68</v>
      </c>
      <c r="I813">
        <v>164</v>
      </c>
      <c r="J813">
        <v>136</v>
      </c>
      <c r="K813">
        <v>748</v>
      </c>
      <c r="L813" s="2">
        <v>2.8703703703703708E-3</v>
      </c>
      <c r="M813" s="2">
        <v>1.712962962962963E-2</v>
      </c>
      <c r="N813" s="2">
        <v>3.664351851851852E-2</v>
      </c>
      <c r="O813" s="2">
        <v>0</v>
      </c>
      <c r="P813" s="2">
        <v>0</v>
      </c>
    </row>
    <row r="814" spans="1:16" x14ac:dyDescent="0.3">
      <c r="A814" s="1">
        <v>45350.846006944441</v>
      </c>
      <c r="B814" s="1">
        <v>45350.889143518521</v>
      </c>
      <c r="C814">
        <v>62.13</v>
      </c>
      <c r="D814" s="2">
        <v>4.313657407407407E-2</v>
      </c>
      <c r="E814">
        <v>12.073</v>
      </c>
      <c r="F814" s="2">
        <v>3.5648148148148154E-3</v>
      </c>
      <c r="G814">
        <v>11.66</v>
      </c>
      <c r="H814">
        <v>13.07</v>
      </c>
      <c r="I814">
        <v>165</v>
      </c>
      <c r="J814">
        <v>144</v>
      </c>
      <c r="K814">
        <v>845</v>
      </c>
      <c r="L814" s="2">
        <v>3.3217592592592591E-3</v>
      </c>
      <c r="M814" s="2">
        <v>1.7210648148148149E-2</v>
      </c>
      <c r="N814" s="2">
        <v>3.5312500000000004E-2</v>
      </c>
      <c r="O814" s="2">
        <v>0</v>
      </c>
      <c r="P814" s="2">
        <v>0</v>
      </c>
    </row>
    <row r="815" spans="1:16" x14ac:dyDescent="0.3">
      <c r="A815" s="1">
        <v>45352.225011574075</v>
      </c>
      <c r="B815" s="1">
        <v>45352.304629629631</v>
      </c>
      <c r="C815">
        <v>110.21</v>
      </c>
      <c r="D815" s="2">
        <v>7.6527777777777778E-2</v>
      </c>
      <c r="E815">
        <v>21.117999999999999</v>
      </c>
      <c r="F815" s="2">
        <v>3.6226851851851854E-3</v>
      </c>
      <c r="G815">
        <v>11.5</v>
      </c>
      <c r="H815">
        <v>13.3</v>
      </c>
      <c r="I815">
        <v>173</v>
      </c>
      <c r="J815">
        <v>150</v>
      </c>
      <c r="K815">
        <v>1518</v>
      </c>
      <c r="L815" s="2">
        <v>3.2754629629629631E-3</v>
      </c>
      <c r="M815" s="2">
        <v>1.7395833333333336E-2</v>
      </c>
      <c r="N815" s="2">
        <v>3.5115740740740746E-2</v>
      </c>
      <c r="O815" s="2">
        <v>7.6469907407407403E-2</v>
      </c>
      <c r="P815" s="2">
        <v>0</v>
      </c>
    </row>
    <row r="816" spans="1:16" x14ac:dyDescent="0.3">
      <c r="A816" s="1">
        <v>45353.960706018515</v>
      </c>
      <c r="B816" s="1">
        <v>45354.000173611108</v>
      </c>
      <c r="C816">
        <v>56.84</v>
      </c>
      <c r="D816" s="2">
        <v>3.9467592592592596E-2</v>
      </c>
      <c r="E816">
        <v>12.029</v>
      </c>
      <c r="F816" s="2">
        <v>3.2754629629629631E-3</v>
      </c>
      <c r="G816">
        <v>12.7</v>
      </c>
      <c r="H816">
        <v>14.14</v>
      </c>
      <c r="I816">
        <v>179</v>
      </c>
      <c r="J816">
        <v>161</v>
      </c>
      <c r="K816">
        <v>831</v>
      </c>
      <c r="L816" s="2">
        <v>3.0439814814814821E-3</v>
      </c>
      <c r="M816" s="2">
        <v>1.5995370370370372E-2</v>
      </c>
      <c r="N816" s="2">
        <v>3.260416666666667E-2</v>
      </c>
      <c r="O816" s="2">
        <v>0</v>
      </c>
      <c r="P816" s="2">
        <v>0</v>
      </c>
    </row>
    <row r="817" spans="1:16" x14ac:dyDescent="0.3">
      <c r="A817" s="1">
        <v>45355.716400462959</v>
      </c>
      <c r="B817" s="1">
        <v>45355.759675925925</v>
      </c>
      <c r="C817">
        <v>56.89</v>
      </c>
      <c r="D817" s="2">
        <v>3.9502314814814816E-2</v>
      </c>
      <c r="E817">
        <v>11.307</v>
      </c>
      <c r="F817" s="2">
        <v>3.483796296296296E-3</v>
      </c>
      <c r="G817">
        <v>11.93</v>
      </c>
      <c r="H817">
        <v>13.84</v>
      </c>
      <c r="I817">
        <v>158</v>
      </c>
      <c r="J817">
        <v>141</v>
      </c>
      <c r="K817">
        <v>785</v>
      </c>
      <c r="L817" s="2">
        <v>3.3333333333333335E-3</v>
      </c>
      <c r="M817" s="2">
        <v>1.7141203703703704E-2</v>
      </c>
      <c r="N817" s="2">
        <v>3.4583333333333334E-2</v>
      </c>
      <c r="O817" s="2">
        <v>0</v>
      </c>
      <c r="P817" s="2">
        <v>0</v>
      </c>
    </row>
    <row r="818" spans="1:16" x14ac:dyDescent="0.3">
      <c r="A818" s="1">
        <v>45357.728888888887</v>
      </c>
      <c r="B818" s="1">
        <v>45357.753888888888</v>
      </c>
      <c r="C818">
        <v>36</v>
      </c>
      <c r="D818" s="2">
        <v>2.4999999999999998E-2</v>
      </c>
      <c r="E818">
        <v>5.9020000000000001</v>
      </c>
      <c r="F818" s="2">
        <v>3.4953703703703705E-3</v>
      </c>
      <c r="G818">
        <v>11.92</v>
      </c>
      <c r="H818">
        <v>14.71</v>
      </c>
      <c r="I818">
        <v>161</v>
      </c>
      <c r="J818">
        <v>139</v>
      </c>
      <c r="K818">
        <v>577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</row>
    <row r="819" spans="1:16" x14ac:dyDescent="0.3">
      <c r="A819" s="1">
        <v>45359.292812500003</v>
      </c>
      <c r="B819" s="1">
        <v>45359.431562500002</v>
      </c>
      <c r="C819">
        <v>199.81</v>
      </c>
      <c r="D819" s="2">
        <v>0.13875000000000001</v>
      </c>
      <c r="E819">
        <v>42.746000000000002</v>
      </c>
      <c r="F819" s="2">
        <v>3.2407407407407406E-3</v>
      </c>
      <c r="G819">
        <v>12.84</v>
      </c>
      <c r="H819">
        <v>15.79</v>
      </c>
      <c r="I819">
        <v>178</v>
      </c>
      <c r="J819">
        <v>162</v>
      </c>
      <c r="K819">
        <v>2981</v>
      </c>
      <c r="L819" s="2">
        <v>2.8703703703703708E-3</v>
      </c>
      <c r="M819" s="2">
        <v>1.4988425925925926E-2</v>
      </c>
      <c r="N819" s="2">
        <v>3.0428240740740742E-2</v>
      </c>
      <c r="O819" s="2">
        <v>6.5972222222222224E-2</v>
      </c>
      <c r="P819" s="2">
        <v>0.13686342592592593</v>
      </c>
    </row>
    <row r="820" spans="1:16" x14ac:dyDescent="0.3">
      <c r="A820" s="1">
        <v>45362.713368055556</v>
      </c>
      <c r="B820" s="1">
        <v>45362.74796296296</v>
      </c>
      <c r="C820">
        <v>47.47</v>
      </c>
      <c r="D820" s="2">
        <v>3.2962962962962965E-2</v>
      </c>
      <c r="E820">
        <v>8.2059999999999995</v>
      </c>
      <c r="F820" s="2">
        <v>4.0162037037037033E-3</v>
      </c>
      <c r="G820">
        <v>10.37</v>
      </c>
      <c r="H820">
        <v>16.36</v>
      </c>
      <c r="I820">
        <v>152</v>
      </c>
      <c r="J820">
        <v>132</v>
      </c>
      <c r="K820">
        <v>568</v>
      </c>
      <c r="L820" s="2">
        <v>3.4606481481481485E-3</v>
      </c>
      <c r="M820" s="2">
        <v>1.8854166666666665E-2</v>
      </c>
      <c r="N820" s="2">
        <v>0</v>
      </c>
      <c r="O820" s="2">
        <v>0</v>
      </c>
      <c r="P820" s="2">
        <v>0</v>
      </c>
    </row>
    <row r="821" spans="1:16" x14ac:dyDescent="0.3">
      <c r="A821" s="1">
        <v>45364.722083333334</v>
      </c>
      <c r="B821" s="1">
        <v>45364.759131944447</v>
      </c>
      <c r="C821">
        <v>51.4</v>
      </c>
      <c r="D821" s="2">
        <v>3.5694444444444445E-2</v>
      </c>
      <c r="E821">
        <v>11.113</v>
      </c>
      <c r="F821" s="2">
        <v>3.2060185185185191E-3</v>
      </c>
      <c r="G821">
        <v>12.97</v>
      </c>
      <c r="H821">
        <v>15.02</v>
      </c>
      <c r="I821">
        <v>173</v>
      </c>
      <c r="J821">
        <v>155</v>
      </c>
      <c r="K821">
        <v>764</v>
      </c>
      <c r="L821" s="2">
        <v>2.8356481481481479E-3</v>
      </c>
      <c r="M821" s="2">
        <v>1.554398148148148E-2</v>
      </c>
      <c r="N821" s="2">
        <v>3.1944444444444449E-2</v>
      </c>
      <c r="O821" s="2">
        <v>0</v>
      </c>
      <c r="P821" s="2">
        <v>0</v>
      </c>
    </row>
    <row r="822" spans="1:16" x14ac:dyDescent="0.3">
      <c r="A822" s="1">
        <v>45366.331620370373</v>
      </c>
      <c r="B822" s="1">
        <v>45366.359027777777</v>
      </c>
      <c r="C822">
        <v>38.83</v>
      </c>
      <c r="D822" s="2">
        <v>2.6956018518518522E-2</v>
      </c>
      <c r="E822">
        <v>10.015000000000001</v>
      </c>
      <c r="F822" s="2">
        <v>2.685185185185185E-3</v>
      </c>
      <c r="G822">
        <v>15.48</v>
      </c>
      <c r="H822">
        <v>19.18</v>
      </c>
      <c r="I822">
        <v>183</v>
      </c>
      <c r="J822">
        <v>168</v>
      </c>
      <c r="K822">
        <v>651</v>
      </c>
      <c r="L822" s="2">
        <v>2.488425925925926E-3</v>
      </c>
      <c r="M822" s="2">
        <v>1.3275462962962963E-2</v>
      </c>
      <c r="N822" s="2">
        <v>2.6909722222222224E-2</v>
      </c>
      <c r="O822" s="2">
        <v>0</v>
      </c>
      <c r="P822" s="2">
        <v>0</v>
      </c>
    </row>
    <row r="823" spans="1:16" x14ac:dyDescent="0.3">
      <c r="A823" s="1">
        <v>45366.36010416667</v>
      </c>
      <c r="B823" s="1">
        <v>45366.363923611112</v>
      </c>
      <c r="C823">
        <v>5.51</v>
      </c>
      <c r="D823" s="2">
        <v>3.8194444444444443E-3</v>
      </c>
      <c r="E823">
        <v>1.107</v>
      </c>
      <c r="F823" s="2">
        <v>3.4490740740740745E-3</v>
      </c>
      <c r="G823">
        <v>12.05</v>
      </c>
      <c r="H823">
        <v>12.6</v>
      </c>
      <c r="I823">
        <v>162</v>
      </c>
      <c r="J823">
        <v>152</v>
      </c>
      <c r="K823">
        <v>79</v>
      </c>
      <c r="L823" s="2">
        <v>3.4027777777777784E-3</v>
      </c>
      <c r="M823" s="2">
        <v>0</v>
      </c>
      <c r="N823" s="2">
        <v>0</v>
      </c>
      <c r="O823" s="2">
        <v>0</v>
      </c>
      <c r="P823" s="2">
        <v>0</v>
      </c>
    </row>
    <row r="824" spans="1:16" x14ac:dyDescent="0.3">
      <c r="A824" s="1">
        <v>45369.712256944447</v>
      </c>
      <c r="B824" s="1">
        <v>45369.764398148145</v>
      </c>
      <c r="C824">
        <v>58.43</v>
      </c>
      <c r="D824" s="2">
        <v>4.0567129629629627E-2</v>
      </c>
      <c r="E824">
        <v>12.212</v>
      </c>
      <c r="F824" s="2">
        <v>3.3217592592592591E-3</v>
      </c>
      <c r="G824">
        <v>12.54</v>
      </c>
      <c r="H824">
        <v>19.41</v>
      </c>
      <c r="I824">
        <v>168</v>
      </c>
      <c r="J824">
        <v>145</v>
      </c>
      <c r="K824">
        <v>802</v>
      </c>
      <c r="L824" s="2">
        <v>3.0787037037037037E-3</v>
      </c>
      <c r="M824" s="2">
        <v>1.6087962962962964E-2</v>
      </c>
      <c r="N824" s="2">
        <v>3.2407407407407406E-2</v>
      </c>
      <c r="O824" s="2">
        <v>0</v>
      </c>
      <c r="P824" s="2">
        <v>0</v>
      </c>
    </row>
    <row r="825" spans="1:16" x14ac:dyDescent="0.3">
      <c r="A825" s="1">
        <v>45370.869027777779</v>
      </c>
      <c r="B825" s="1">
        <v>45370.907268518517</v>
      </c>
      <c r="C825">
        <v>55.08</v>
      </c>
      <c r="D825" s="2">
        <v>3.8240740740740742E-2</v>
      </c>
      <c r="E825">
        <v>11.111000000000001</v>
      </c>
      <c r="F825" s="2">
        <v>3.4375E-3</v>
      </c>
      <c r="G825">
        <v>12.1</v>
      </c>
      <c r="H825">
        <v>13.2</v>
      </c>
      <c r="I825">
        <v>162</v>
      </c>
      <c r="J825">
        <v>149</v>
      </c>
      <c r="K825">
        <v>780</v>
      </c>
      <c r="L825" s="2">
        <v>3.2175925925925926E-3</v>
      </c>
      <c r="M825" s="2">
        <v>1.6898148148148148E-2</v>
      </c>
      <c r="N825" s="2">
        <v>3.4409722222222223E-2</v>
      </c>
      <c r="O825" s="2">
        <v>0</v>
      </c>
      <c r="P825" s="2">
        <v>0</v>
      </c>
    </row>
    <row r="826" spans="1:16" x14ac:dyDescent="0.3">
      <c r="A826" s="1">
        <v>45371.732812499999</v>
      </c>
      <c r="B826" s="1">
        <v>45371.753657407404</v>
      </c>
      <c r="C826">
        <v>30.03</v>
      </c>
      <c r="D826" s="2">
        <v>2.0844907407407406E-2</v>
      </c>
      <c r="E826">
        <v>6.07</v>
      </c>
      <c r="F826" s="2">
        <v>3.4375E-3</v>
      </c>
      <c r="G826">
        <v>12.09</v>
      </c>
      <c r="H826">
        <v>17.47</v>
      </c>
      <c r="I826">
        <v>170</v>
      </c>
      <c r="J826">
        <v>144</v>
      </c>
      <c r="K826">
        <v>488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</row>
    <row r="827" spans="1:16" x14ac:dyDescent="0.3">
      <c r="A827" s="1">
        <v>45373.408900462964</v>
      </c>
      <c r="B827" s="1">
        <v>45373.458692129629</v>
      </c>
      <c r="C827">
        <v>71.319999999999993</v>
      </c>
      <c r="D827" s="2">
        <v>4.9525462962962959E-2</v>
      </c>
      <c r="E827">
        <v>16.207999999999998</v>
      </c>
      <c r="F827" s="2">
        <v>3.0555555555555557E-3</v>
      </c>
      <c r="G827">
        <v>13.63</v>
      </c>
      <c r="H827">
        <v>15.45</v>
      </c>
      <c r="I827">
        <v>172</v>
      </c>
      <c r="J827">
        <v>157</v>
      </c>
      <c r="K827">
        <v>1090</v>
      </c>
      <c r="L827" s="2">
        <v>2.8240740740740739E-3</v>
      </c>
      <c r="M827" s="2">
        <v>1.4618055555555556E-2</v>
      </c>
      <c r="N827" s="2">
        <v>2.9525462962962962E-2</v>
      </c>
      <c r="O827" s="2">
        <v>0</v>
      </c>
      <c r="P827" s="2">
        <v>0</v>
      </c>
    </row>
    <row r="828" spans="1:16" x14ac:dyDescent="0.3">
      <c r="A828" s="1">
        <v>45375.539155092592</v>
      </c>
      <c r="B828" s="1">
        <v>45375.577361111114</v>
      </c>
      <c r="C828">
        <v>55.03</v>
      </c>
      <c r="D828" s="2">
        <v>3.8206018518518521E-2</v>
      </c>
      <c r="E828">
        <v>11.327999999999999</v>
      </c>
      <c r="F828" s="2">
        <v>3.3680555555555551E-3</v>
      </c>
      <c r="G828">
        <v>12.35</v>
      </c>
      <c r="H828">
        <v>14.38</v>
      </c>
      <c r="I828">
        <v>174</v>
      </c>
      <c r="J828">
        <v>154</v>
      </c>
      <c r="K828">
        <v>793</v>
      </c>
      <c r="L828" s="2">
        <v>3.0324074074074073E-3</v>
      </c>
      <c r="M828" s="2">
        <v>1.6655092592592593E-2</v>
      </c>
      <c r="N828" s="2">
        <v>3.3414351851851855E-2</v>
      </c>
      <c r="O828" s="2">
        <v>0</v>
      </c>
      <c r="P828" s="2">
        <v>0</v>
      </c>
    </row>
    <row r="829" spans="1:16" x14ac:dyDescent="0.3">
      <c r="A829" s="1">
        <v>45376.712118055555</v>
      </c>
      <c r="B829" s="1">
        <v>45376.760949074072</v>
      </c>
      <c r="C829">
        <v>52.34</v>
      </c>
      <c r="D829" s="2">
        <v>3.6342592592592593E-2</v>
      </c>
      <c r="E829">
        <v>11.015000000000001</v>
      </c>
      <c r="F829" s="2">
        <v>3.2986111111111111E-3</v>
      </c>
      <c r="G829">
        <v>12.63</v>
      </c>
      <c r="H829">
        <v>18.850000000000001</v>
      </c>
      <c r="I829">
        <v>169</v>
      </c>
      <c r="J829">
        <v>140</v>
      </c>
      <c r="K829">
        <v>697</v>
      </c>
      <c r="L829" s="2">
        <v>2.9398148148148148E-3</v>
      </c>
      <c r="M829" s="2">
        <v>1.539351851851852E-2</v>
      </c>
      <c r="N829" s="2">
        <v>3.2141203703703707E-2</v>
      </c>
      <c r="O829" s="2">
        <v>0</v>
      </c>
      <c r="P829" s="2">
        <v>0</v>
      </c>
    </row>
    <row r="830" spans="1:16" x14ac:dyDescent="0.3">
      <c r="A830" s="1">
        <v>45378.713622685187</v>
      </c>
      <c r="B830" s="1">
        <v>45378.752233796295</v>
      </c>
      <c r="C830">
        <v>55.6</v>
      </c>
      <c r="D830" s="2">
        <v>3.861111111111111E-2</v>
      </c>
      <c r="E830">
        <v>10.680999999999999</v>
      </c>
      <c r="F830" s="2">
        <v>3.1365740740740742E-3</v>
      </c>
      <c r="G830">
        <v>13.27</v>
      </c>
      <c r="H830">
        <v>18.61</v>
      </c>
      <c r="I830">
        <v>171</v>
      </c>
      <c r="J830">
        <v>146</v>
      </c>
      <c r="K830">
        <v>926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</row>
    <row r="831" spans="1:16" x14ac:dyDescent="0.3">
      <c r="A831" s="1">
        <v>45380.659872685188</v>
      </c>
      <c r="B831" s="1">
        <v>45380.715868055559</v>
      </c>
      <c r="C831">
        <v>80.12</v>
      </c>
      <c r="D831" s="2">
        <v>5.5625000000000001E-2</v>
      </c>
      <c r="E831">
        <v>16.404</v>
      </c>
      <c r="F831" s="2">
        <v>3.3912037037037036E-3</v>
      </c>
      <c r="G831">
        <v>12.29</v>
      </c>
      <c r="H831">
        <v>15.55</v>
      </c>
      <c r="I831">
        <v>164</v>
      </c>
      <c r="J831">
        <v>148</v>
      </c>
      <c r="K831">
        <v>1118</v>
      </c>
      <c r="L831" s="2">
        <v>2.8587962962962963E-3</v>
      </c>
      <c r="M831" s="2">
        <v>1.5763888888888886E-2</v>
      </c>
      <c r="N831" s="2">
        <v>3.2858796296296296E-2</v>
      </c>
      <c r="O831" s="2">
        <v>0</v>
      </c>
      <c r="P831" s="2">
        <v>0</v>
      </c>
    </row>
    <row r="832" spans="1:16" x14ac:dyDescent="0.3">
      <c r="A832" s="1">
        <v>45381.972997685189</v>
      </c>
      <c r="B832" s="1">
        <v>45382.004062499997</v>
      </c>
      <c r="C832">
        <v>43.27</v>
      </c>
      <c r="D832" s="2">
        <v>3.0046296296296297E-2</v>
      </c>
      <c r="E832">
        <v>8.2560000000000002</v>
      </c>
      <c r="F832" s="2">
        <v>3.6342592592592594E-3</v>
      </c>
      <c r="G832">
        <v>11.45</v>
      </c>
      <c r="H832">
        <v>13</v>
      </c>
      <c r="I832">
        <v>152</v>
      </c>
      <c r="J832">
        <v>138</v>
      </c>
      <c r="K832">
        <v>564</v>
      </c>
      <c r="L832" s="2">
        <v>3.414351851851852E-3</v>
      </c>
      <c r="M832" s="2">
        <v>1.7986111111111109E-2</v>
      </c>
      <c r="N832" s="2">
        <v>0</v>
      </c>
      <c r="O832" s="2">
        <v>0</v>
      </c>
      <c r="P832" s="2">
        <v>0</v>
      </c>
    </row>
    <row r="833" spans="1:16" x14ac:dyDescent="0.3">
      <c r="A833" s="1">
        <v>45382.754861111112</v>
      </c>
      <c r="B833" s="1">
        <v>45382.777314814812</v>
      </c>
      <c r="C833">
        <v>32.33</v>
      </c>
      <c r="D833" s="2">
        <v>2.2453703703703708E-2</v>
      </c>
      <c r="E833">
        <v>6.3689999999999998</v>
      </c>
      <c r="F833" s="2">
        <v>3.530092592592592E-3</v>
      </c>
      <c r="G833">
        <v>11.78</v>
      </c>
      <c r="H833">
        <v>14.95</v>
      </c>
      <c r="I833">
        <v>161</v>
      </c>
      <c r="J833">
        <v>133</v>
      </c>
      <c r="K833">
        <v>513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</row>
    <row r="834" spans="1:16" x14ac:dyDescent="0.3">
      <c r="A834" s="1">
        <v>45383.71471064815</v>
      </c>
      <c r="B834" s="1">
        <v>45383.768113425926</v>
      </c>
      <c r="C834">
        <v>60.74</v>
      </c>
      <c r="D834" s="2">
        <v>4.2175925925925922E-2</v>
      </c>
      <c r="E834">
        <v>12.507</v>
      </c>
      <c r="F834" s="2">
        <v>3.3680555555555551E-3</v>
      </c>
      <c r="G834">
        <v>12.35</v>
      </c>
      <c r="H834">
        <v>18.34</v>
      </c>
      <c r="I834">
        <v>164</v>
      </c>
      <c r="J834">
        <v>142</v>
      </c>
      <c r="K834">
        <v>834</v>
      </c>
      <c r="L834" s="2">
        <v>2.9282407407407412E-3</v>
      </c>
      <c r="M834" s="2">
        <v>1.577546296296296E-2</v>
      </c>
      <c r="N834" s="2">
        <v>3.3263888888888891E-2</v>
      </c>
      <c r="O834" s="2">
        <v>0</v>
      </c>
      <c r="P834" s="2">
        <v>0</v>
      </c>
    </row>
    <row r="835" spans="1:16" x14ac:dyDescent="0.3">
      <c r="A835" s="1">
        <v>45385.722453703704</v>
      </c>
      <c r="B835" s="1">
        <v>45385.760208333333</v>
      </c>
      <c r="C835">
        <v>49.76</v>
      </c>
      <c r="D835" s="2">
        <v>3.4548611111111113E-2</v>
      </c>
      <c r="E835">
        <v>10.657999999999999</v>
      </c>
      <c r="F835" s="2">
        <v>3.2407407407407406E-3</v>
      </c>
      <c r="G835">
        <v>12.85</v>
      </c>
      <c r="H835">
        <v>15.52</v>
      </c>
      <c r="I835">
        <v>169</v>
      </c>
      <c r="J835">
        <v>147</v>
      </c>
      <c r="K835">
        <v>708</v>
      </c>
      <c r="L835" s="2">
        <v>2.9861111111111113E-3</v>
      </c>
      <c r="M835" s="2">
        <v>1.5949074074074074E-2</v>
      </c>
      <c r="N835" s="2">
        <v>3.2303240740740737E-2</v>
      </c>
      <c r="O835" s="2">
        <v>0</v>
      </c>
      <c r="P835" s="2">
        <v>0</v>
      </c>
    </row>
    <row r="836" spans="1:16" x14ac:dyDescent="0.3">
      <c r="A836" s="1">
        <v>45387.281956018516</v>
      </c>
      <c r="B836" s="1">
        <v>45387.308738425927</v>
      </c>
      <c r="C836">
        <v>38.57</v>
      </c>
      <c r="D836" s="2">
        <v>2.6782407407407408E-2</v>
      </c>
      <c r="E836">
        <v>10.135</v>
      </c>
      <c r="F836" s="2">
        <v>2.6388888888888885E-3</v>
      </c>
      <c r="G836">
        <v>15.77</v>
      </c>
      <c r="H836">
        <v>20.59</v>
      </c>
      <c r="I836">
        <v>181</v>
      </c>
      <c r="J836">
        <v>168</v>
      </c>
      <c r="K836">
        <v>659</v>
      </c>
      <c r="L836" s="2">
        <v>2.4768518518518516E-3</v>
      </c>
      <c r="M836" s="2">
        <v>1.2800925925925926E-2</v>
      </c>
      <c r="N836" s="2">
        <v>2.6469907407407411E-2</v>
      </c>
      <c r="O836" s="2">
        <v>0</v>
      </c>
      <c r="P836" s="2">
        <v>0</v>
      </c>
    </row>
    <row r="837" spans="1:16" x14ac:dyDescent="0.3">
      <c r="A837" s="1">
        <v>45387.328842592593</v>
      </c>
      <c r="B837" s="1">
        <v>45387.346319444441</v>
      </c>
      <c r="C837">
        <v>25.17</v>
      </c>
      <c r="D837" s="2">
        <v>1.7465277777777777E-2</v>
      </c>
      <c r="E837">
        <v>4.0369999999999999</v>
      </c>
      <c r="F837" s="2">
        <v>4.3287037037037035E-3</v>
      </c>
      <c r="G837">
        <v>9.6199999999999992</v>
      </c>
      <c r="H837">
        <v>10.98</v>
      </c>
      <c r="I837">
        <v>141</v>
      </c>
      <c r="J837">
        <v>127</v>
      </c>
      <c r="K837">
        <v>290</v>
      </c>
      <c r="L837" s="2">
        <v>4.2129629629629626E-3</v>
      </c>
      <c r="M837" s="2">
        <v>0</v>
      </c>
      <c r="N837" s="2">
        <v>0</v>
      </c>
      <c r="O837" s="2">
        <v>0</v>
      </c>
      <c r="P837" s="2">
        <v>0</v>
      </c>
    </row>
    <row r="838" spans="1:16" x14ac:dyDescent="0.3">
      <c r="A838" s="1">
        <v>45388.929178240738</v>
      </c>
      <c r="B838" s="1">
        <v>45388.965821759259</v>
      </c>
      <c r="C838">
        <v>52.77</v>
      </c>
      <c r="D838" s="2">
        <v>3.664351851851852E-2</v>
      </c>
      <c r="E838">
        <v>10.103999999999999</v>
      </c>
      <c r="F838" s="2">
        <v>3.6226851851851854E-3</v>
      </c>
      <c r="G838">
        <v>11.49</v>
      </c>
      <c r="H838">
        <v>12.83</v>
      </c>
      <c r="I838">
        <v>161</v>
      </c>
      <c r="J838">
        <v>146</v>
      </c>
      <c r="K838">
        <v>705</v>
      </c>
      <c r="L838" s="2">
        <v>3.483796296296296E-3</v>
      </c>
      <c r="M838" s="2">
        <v>1.8032407407407407E-2</v>
      </c>
      <c r="N838" s="2">
        <v>3.6249999999999998E-2</v>
      </c>
      <c r="O838" s="2">
        <v>0</v>
      </c>
      <c r="P838" s="2">
        <v>0</v>
      </c>
    </row>
    <row r="839" spans="1:16" x14ac:dyDescent="0.3">
      <c r="A839" s="1">
        <v>45389.751307870371</v>
      </c>
      <c r="B839" s="1">
        <v>45389.770069444443</v>
      </c>
      <c r="C839">
        <v>27.02</v>
      </c>
      <c r="D839" s="2">
        <v>1.8761574074074073E-2</v>
      </c>
      <c r="E839">
        <v>5.2590000000000003</v>
      </c>
      <c r="F839" s="2">
        <v>3.5648148148148154E-3</v>
      </c>
      <c r="G839">
        <v>11.68</v>
      </c>
      <c r="H839">
        <v>18.34</v>
      </c>
      <c r="I839">
        <v>159</v>
      </c>
      <c r="J839">
        <v>134</v>
      </c>
      <c r="K839">
        <v>335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</row>
    <row r="840" spans="1:16" x14ac:dyDescent="0.3">
      <c r="A840" s="1">
        <v>45390.712222222224</v>
      </c>
      <c r="B840" s="1">
        <v>45390.750185185185</v>
      </c>
      <c r="C840">
        <v>49.9</v>
      </c>
      <c r="D840" s="2">
        <v>3.4641203703703702E-2</v>
      </c>
      <c r="E840">
        <v>10.904</v>
      </c>
      <c r="F840" s="2">
        <v>3.1712962962962958E-3</v>
      </c>
      <c r="G840">
        <v>13.11</v>
      </c>
      <c r="H840">
        <v>16.43</v>
      </c>
      <c r="I840">
        <v>172</v>
      </c>
      <c r="J840">
        <v>148</v>
      </c>
      <c r="K840">
        <v>731</v>
      </c>
      <c r="L840" s="2">
        <v>2.6967592592592594E-3</v>
      </c>
      <c r="M840" s="2">
        <v>1.4039351851851851E-2</v>
      </c>
      <c r="N840" s="2">
        <v>3.1006944444444445E-2</v>
      </c>
      <c r="O840" s="2">
        <v>0</v>
      </c>
      <c r="P840" s="2">
        <v>0</v>
      </c>
    </row>
    <row r="841" spans="1:16" x14ac:dyDescent="0.3">
      <c r="A841" s="1">
        <v>45392.715405092589</v>
      </c>
      <c r="B841" s="1">
        <v>45392.752245370371</v>
      </c>
      <c r="C841">
        <v>50.28</v>
      </c>
      <c r="D841" s="2">
        <v>3.4907407407407408E-2</v>
      </c>
      <c r="E841">
        <v>10.098000000000001</v>
      </c>
      <c r="F841" s="2">
        <v>3.4490740740740745E-3</v>
      </c>
      <c r="G841">
        <v>12.05</v>
      </c>
      <c r="H841">
        <v>14.48</v>
      </c>
      <c r="I841">
        <v>160</v>
      </c>
      <c r="J841">
        <v>137</v>
      </c>
      <c r="K841">
        <v>690</v>
      </c>
      <c r="L841" s="2">
        <v>3.1828703703703702E-3</v>
      </c>
      <c r="M841" s="2">
        <v>1.7141203703703704E-2</v>
      </c>
      <c r="N841" s="2">
        <v>3.4594907407407408E-2</v>
      </c>
      <c r="O841" s="2">
        <v>0</v>
      </c>
      <c r="P841" s="2">
        <v>0</v>
      </c>
    </row>
    <row r="842" spans="1:16" x14ac:dyDescent="0.3">
      <c r="A842" s="1">
        <v>45394.294548611113</v>
      </c>
      <c r="B842" s="1">
        <v>45394.321446759262</v>
      </c>
      <c r="C842">
        <v>38.75</v>
      </c>
      <c r="D842" s="2">
        <v>2.6898148148148147E-2</v>
      </c>
      <c r="E842">
        <v>10.087999999999999</v>
      </c>
      <c r="F842" s="2">
        <v>2.6620370370370374E-3</v>
      </c>
      <c r="G842">
        <v>15.62</v>
      </c>
      <c r="H842">
        <v>21.43</v>
      </c>
      <c r="I842">
        <v>179</v>
      </c>
      <c r="J842">
        <v>158</v>
      </c>
      <c r="K842">
        <v>645</v>
      </c>
      <c r="L842" s="2">
        <v>2.4537037037037036E-3</v>
      </c>
      <c r="M842" s="2">
        <v>1.2939814814814814E-2</v>
      </c>
      <c r="N842" s="2">
        <v>2.6678240740740738E-2</v>
      </c>
      <c r="O842" s="2">
        <v>0</v>
      </c>
      <c r="P842" s="2">
        <v>0</v>
      </c>
    </row>
    <row r="843" spans="1:16" x14ac:dyDescent="0.3">
      <c r="A843" s="1">
        <v>45396.75372685185</v>
      </c>
      <c r="B843" s="1">
        <v>45396.780150462961</v>
      </c>
      <c r="C843">
        <v>38.06</v>
      </c>
      <c r="D843" s="2">
        <v>2.642361111111111E-2</v>
      </c>
      <c r="E843">
        <v>5.5049999999999999</v>
      </c>
      <c r="F843" s="2">
        <v>3.1018518518518522E-3</v>
      </c>
      <c r="G843">
        <v>13.4</v>
      </c>
      <c r="H843">
        <v>18.04</v>
      </c>
      <c r="I843">
        <v>164</v>
      </c>
      <c r="J843">
        <v>135</v>
      </c>
      <c r="K843">
        <v>634</v>
      </c>
      <c r="L843" s="2">
        <v>3.1018518518518522E-3</v>
      </c>
      <c r="M843" s="2">
        <v>1.554398148148148E-2</v>
      </c>
      <c r="N843" s="2">
        <v>0</v>
      </c>
      <c r="O843" s="2">
        <v>0</v>
      </c>
      <c r="P843" s="2">
        <v>0</v>
      </c>
    </row>
    <row r="844" spans="1:16" x14ac:dyDescent="0.3">
      <c r="A844" s="1">
        <v>45397.742743055554</v>
      </c>
      <c r="B844" s="1">
        <v>45397.779386574075</v>
      </c>
      <c r="C844">
        <v>46.75</v>
      </c>
      <c r="D844" s="2">
        <v>3.24537037037037E-2</v>
      </c>
      <c r="E844">
        <v>10.505000000000001</v>
      </c>
      <c r="F844" s="2">
        <v>3.0787037037037037E-3</v>
      </c>
      <c r="G844">
        <v>13.48</v>
      </c>
      <c r="H844">
        <v>17.739999999999998</v>
      </c>
      <c r="I844">
        <v>179</v>
      </c>
      <c r="J844">
        <v>148</v>
      </c>
      <c r="K844">
        <v>691</v>
      </c>
      <c r="L844" s="2">
        <v>2.6620370370370374E-3</v>
      </c>
      <c r="M844" s="2">
        <v>1.3796296296296298E-2</v>
      </c>
      <c r="N844" s="2">
        <v>3.0636574074074076E-2</v>
      </c>
      <c r="O844" s="2">
        <v>0</v>
      </c>
      <c r="P844" s="2">
        <v>0</v>
      </c>
    </row>
    <row r="845" spans="1:16" x14ac:dyDescent="0.3">
      <c r="A845" s="1">
        <v>45399.805300925924</v>
      </c>
      <c r="B845" s="1">
        <v>45399.81181712963</v>
      </c>
      <c r="C845">
        <v>6.67</v>
      </c>
      <c r="D845" s="2">
        <v>4.6296296296296302E-3</v>
      </c>
      <c r="E845">
        <v>1.1619999999999999</v>
      </c>
      <c r="F845" s="2">
        <v>3.9814814814814817E-3</v>
      </c>
      <c r="G845">
        <v>10.46</v>
      </c>
      <c r="H845">
        <v>12.53</v>
      </c>
      <c r="I845">
        <v>148</v>
      </c>
      <c r="J845">
        <v>127</v>
      </c>
      <c r="K845">
        <v>76</v>
      </c>
      <c r="L845" s="2">
        <v>3.9120370370370368E-3</v>
      </c>
      <c r="M845" s="2">
        <v>0</v>
      </c>
      <c r="N845" s="2">
        <v>0</v>
      </c>
      <c r="O845" s="2">
        <v>0</v>
      </c>
      <c r="P845" s="2">
        <v>0</v>
      </c>
    </row>
    <row r="846" spans="1:16" x14ac:dyDescent="0.3">
      <c r="A846" s="1">
        <v>45399.833171296297</v>
      </c>
      <c r="B846" s="1">
        <v>45399.863576388889</v>
      </c>
      <c r="C846">
        <v>43.8</v>
      </c>
      <c r="D846" s="2">
        <v>3.0405092592592591E-2</v>
      </c>
      <c r="E846">
        <v>10.032</v>
      </c>
      <c r="F846" s="2">
        <v>3.0208333333333333E-3</v>
      </c>
      <c r="G846">
        <v>13.74</v>
      </c>
      <c r="H846">
        <v>18.14</v>
      </c>
      <c r="I846">
        <v>174</v>
      </c>
      <c r="J846">
        <v>159</v>
      </c>
      <c r="K846">
        <v>694</v>
      </c>
      <c r="L846" s="2">
        <v>2.8703703703703708E-3</v>
      </c>
      <c r="M846" s="2">
        <v>1.4872685185185185E-2</v>
      </c>
      <c r="N846" s="2">
        <v>3.0324074074074073E-2</v>
      </c>
      <c r="O846" s="2">
        <v>0</v>
      </c>
      <c r="P846" s="2">
        <v>0</v>
      </c>
    </row>
    <row r="847" spans="1:16" x14ac:dyDescent="0.3">
      <c r="A847" s="1">
        <v>45401.685289351852</v>
      </c>
      <c r="B847" s="1">
        <v>45401.726157407407</v>
      </c>
      <c r="C847">
        <v>57.24</v>
      </c>
      <c r="D847" s="2">
        <v>3.9745370370370368E-2</v>
      </c>
      <c r="E847">
        <v>11.207000000000001</v>
      </c>
      <c r="F847" s="2">
        <v>3.5416666666666665E-3</v>
      </c>
      <c r="G847">
        <v>11.75</v>
      </c>
      <c r="H847">
        <v>12.66</v>
      </c>
      <c r="I847">
        <v>154</v>
      </c>
      <c r="J847">
        <v>141</v>
      </c>
      <c r="K847">
        <v>766</v>
      </c>
      <c r="L847" s="2">
        <v>3.3680555555555551E-3</v>
      </c>
      <c r="M847" s="2">
        <v>1.7615740740740741E-2</v>
      </c>
      <c r="N847" s="2">
        <v>3.5416666666666666E-2</v>
      </c>
      <c r="O847" s="2">
        <v>0</v>
      </c>
      <c r="P847" s="2">
        <v>0</v>
      </c>
    </row>
    <row r="848" spans="1:16" x14ac:dyDescent="0.3">
      <c r="A848" s="1">
        <v>45402.986851851849</v>
      </c>
      <c r="B848" s="1">
        <v>45402.997511574074</v>
      </c>
      <c r="C848">
        <v>15.36</v>
      </c>
      <c r="D848" s="2">
        <v>1.0659722222222221E-2</v>
      </c>
      <c r="E848">
        <v>3.0190000000000001</v>
      </c>
      <c r="F848" s="2">
        <v>3.530092592592592E-3</v>
      </c>
      <c r="G848">
        <v>11.79</v>
      </c>
      <c r="H848">
        <v>12.46</v>
      </c>
      <c r="I848">
        <v>158</v>
      </c>
      <c r="J848">
        <v>135</v>
      </c>
      <c r="K848">
        <v>204</v>
      </c>
      <c r="L848" s="2">
        <v>3.4606481481481485E-3</v>
      </c>
      <c r="M848" s="2">
        <v>0</v>
      </c>
      <c r="N848" s="2">
        <v>0</v>
      </c>
      <c r="O848" s="2">
        <v>0</v>
      </c>
      <c r="P848" s="2">
        <v>0</v>
      </c>
    </row>
    <row r="849" spans="1:16" x14ac:dyDescent="0.3">
      <c r="A849" s="1">
        <v>45403.943518518521</v>
      </c>
      <c r="B849" s="1">
        <v>45403.992025462961</v>
      </c>
      <c r="C849">
        <v>69.849999999999994</v>
      </c>
      <c r="D849" s="2">
        <v>4.8506944444444443E-2</v>
      </c>
      <c r="E849">
        <v>16.254000000000001</v>
      </c>
      <c r="F849" s="2">
        <v>2.9745370370370373E-3</v>
      </c>
      <c r="G849">
        <v>13.96</v>
      </c>
      <c r="H849">
        <v>17.670000000000002</v>
      </c>
      <c r="I849">
        <v>180</v>
      </c>
      <c r="J849">
        <v>160</v>
      </c>
      <c r="K849">
        <v>1109</v>
      </c>
      <c r="L849" s="2">
        <v>2.6967592592592594E-3</v>
      </c>
      <c r="M849" s="2">
        <v>1.4282407407407409E-2</v>
      </c>
      <c r="N849" s="2">
        <v>2.900462962962963E-2</v>
      </c>
      <c r="O849" s="2">
        <v>0</v>
      </c>
      <c r="P849" s="2">
        <v>0</v>
      </c>
    </row>
    <row r="850" spans="1:16" x14ac:dyDescent="0.3">
      <c r="A850" s="1">
        <v>45405.970543981479</v>
      </c>
      <c r="B850" s="1">
        <v>45406.011053240742</v>
      </c>
      <c r="C850">
        <v>58.33</v>
      </c>
      <c r="D850" s="2">
        <v>4.0509259259259259E-2</v>
      </c>
      <c r="E850">
        <v>12.345000000000001</v>
      </c>
      <c r="F850" s="2">
        <v>3.2754629629629631E-3</v>
      </c>
      <c r="G850">
        <v>12.7</v>
      </c>
      <c r="H850">
        <v>15.58</v>
      </c>
      <c r="I850">
        <v>167</v>
      </c>
      <c r="J850">
        <v>147</v>
      </c>
      <c r="K850">
        <v>853</v>
      </c>
      <c r="L850" s="2">
        <v>3.0555555555555557E-3</v>
      </c>
      <c r="M850" s="2">
        <v>1.5659722222222224E-2</v>
      </c>
      <c r="N850" s="2">
        <v>3.2326388888888884E-2</v>
      </c>
      <c r="O850" s="2">
        <v>0</v>
      </c>
      <c r="P850" s="2">
        <v>0</v>
      </c>
    </row>
    <row r="851" spans="1:16" x14ac:dyDescent="0.3">
      <c r="A851" s="1">
        <v>45407.916539351849</v>
      </c>
      <c r="B851" s="1">
        <v>45407.976851851854</v>
      </c>
      <c r="C851">
        <v>84.76</v>
      </c>
      <c r="D851" s="2">
        <v>5.8854166666666673E-2</v>
      </c>
      <c r="E851">
        <v>17.305</v>
      </c>
      <c r="F851" s="2">
        <v>3.3912037037037036E-3</v>
      </c>
      <c r="G851">
        <v>12.25</v>
      </c>
      <c r="H851">
        <v>13.71</v>
      </c>
      <c r="I851">
        <v>167</v>
      </c>
      <c r="J851">
        <v>143</v>
      </c>
      <c r="K851">
        <v>1178</v>
      </c>
      <c r="L851" s="2">
        <v>3.1365740740740742E-3</v>
      </c>
      <c r="M851" s="2">
        <v>1.6469907407407405E-2</v>
      </c>
      <c r="N851" s="2">
        <v>3.3506944444444443E-2</v>
      </c>
      <c r="O851" s="2">
        <v>0</v>
      </c>
      <c r="P851" s="2">
        <v>0</v>
      </c>
    </row>
    <row r="852" spans="1:16" x14ac:dyDescent="0.3">
      <c r="A852" s="1">
        <v>45409.947256944448</v>
      </c>
      <c r="B852" s="1">
        <v>45409.99900462963</v>
      </c>
      <c r="C852">
        <v>72.069999999999993</v>
      </c>
      <c r="D852" s="2">
        <v>5.004629629629629E-2</v>
      </c>
      <c r="E852">
        <v>14.303000000000001</v>
      </c>
      <c r="F852" s="2">
        <v>3.4953703703703705E-3</v>
      </c>
      <c r="G852">
        <v>11.91</v>
      </c>
      <c r="H852">
        <v>13.47</v>
      </c>
      <c r="I852">
        <v>162</v>
      </c>
      <c r="J852">
        <v>142</v>
      </c>
      <c r="K852">
        <v>995</v>
      </c>
      <c r="L852" s="2">
        <v>3.3101851851851851E-3</v>
      </c>
      <c r="M852" s="2">
        <v>1.7187499999999998E-2</v>
      </c>
      <c r="N852" s="2">
        <v>3.4861111111111114E-2</v>
      </c>
      <c r="O852" s="2">
        <v>0</v>
      </c>
      <c r="P852" s="2">
        <v>0</v>
      </c>
    </row>
    <row r="853" spans="1:16" x14ac:dyDescent="0.3">
      <c r="A853" s="1">
        <v>45410.726655092592</v>
      </c>
      <c r="B853" s="1">
        <v>45410.751388888886</v>
      </c>
      <c r="C853">
        <v>35.619999999999997</v>
      </c>
      <c r="D853" s="2">
        <v>2.4733796296296295E-2</v>
      </c>
      <c r="E853">
        <v>8.2550000000000008</v>
      </c>
      <c r="F853" s="2">
        <v>2.9861111111111113E-3</v>
      </c>
      <c r="G853">
        <v>13.91</v>
      </c>
      <c r="H853">
        <v>15.18</v>
      </c>
      <c r="I853">
        <v>164</v>
      </c>
      <c r="J853">
        <v>151</v>
      </c>
      <c r="K853">
        <v>542</v>
      </c>
      <c r="L853" s="2">
        <v>2.9166666666666668E-3</v>
      </c>
      <c r="M853" s="2">
        <v>1.4837962962962963E-2</v>
      </c>
      <c r="N853" s="2">
        <v>0</v>
      </c>
      <c r="O853" s="2">
        <v>0</v>
      </c>
      <c r="P853" s="2">
        <v>0</v>
      </c>
    </row>
    <row r="854" spans="1:16" x14ac:dyDescent="0.3">
      <c r="A854" s="1">
        <v>45412.785902777781</v>
      </c>
      <c r="B854" s="1">
        <v>45412.800023148149</v>
      </c>
      <c r="C854">
        <v>20.329999999999998</v>
      </c>
      <c r="D854" s="2">
        <v>1.4108796296296295E-2</v>
      </c>
      <c r="E854">
        <v>4.5090000000000003</v>
      </c>
      <c r="F854" s="2">
        <v>3.483796296296296E-3</v>
      </c>
      <c r="G854">
        <v>11.95</v>
      </c>
      <c r="H854">
        <v>14.95</v>
      </c>
      <c r="I854">
        <v>161</v>
      </c>
      <c r="J854">
        <v>137</v>
      </c>
      <c r="K854">
        <v>327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</row>
    <row r="855" spans="1:16" x14ac:dyDescent="0.3">
      <c r="A855" s="1">
        <v>45413.718888888892</v>
      </c>
      <c r="B855" s="1">
        <v>45413.753877314812</v>
      </c>
      <c r="C855">
        <v>47.19</v>
      </c>
      <c r="D855" s="2">
        <v>3.27662037037037E-2</v>
      </c>
      <c r="E855">
        <v>11.114000000000001</v>
      </c>
      <c r="F855" s="2">
        <v>2.9398148148148148E-3</v>
      </c>
      <c r="G855">
        <v>14.13</v>
      </c>
      <c r="H855">
        <v>16.46</v>
      </c>
      <c r="I855">
        <v>174</v>
      </c>
      <c r="J855">
        <v>159</v>
      </c>
      <c r="K855">
        <v>739</v>
      </c>
      <c r="L855" s="2">
        <v>2.6504629629629625E-3</v>
      </c>
      <c r="M855" s="2">
        <v>1.4050925925925927E-2</v>
      </c>
      <c r="N855" s="2">
        <v>2.9050925925925928E-2</v>
      </c>
      <c r="O855" s="2">
        <v>0</v>
      </c>
      <c r="P855" s="2">
        <v>0</v>
      </c>
    </row>
    <row r="856" spans="1:16" x14ac:dyDescent="0.3">
      <c r="A856" s="1">
        <v>45415.258958333332</v>
      </c>
      <c r="B856" s="1">
        <v>45415.345949074072</v>
      </c>
      <c r="C856">
        <v>123</v>
      </c>
      <c r="D856" s="2">
        <v>8.5405092592592588E-2</v>
      </c>
      <c r="E856">
        <v>23.204999999999998</v>
      </c>
      <c r="F856" s="2">
        <v>3.6805555555555554E-3</v>
      </c>
      <c r="G856">
        <v>11.32</v>
      </c>
      <c r="H856">
        <v>16.16</v>
      </c>
      <c r="I856">
        <v>175</v>
      </c>
      <c r="J856">
        <v>143</v>
      </c>
      <c r="K856">
        <v>1669</v>
      </c>
      <c r="L856" s="2">
        <v>2.8587962962962963E-3</v>
      </c>
      <c r="M856" s="2">
        <v>1.6863425925925928E-2</v>
      </c>
      <c r="N856" s="2">
        <v>3.532407407407407E-2</v>
      </c>
      <c r="O856" s="2">
        <v>7.6863425925925918E-2</v>
      </c>
      <c r="P856" s="2">
        <v>0</v>
      </c>
    </row>
    <row r="857" spans="1:16" x14ac:dyDescent="0.3">
      <c r="A857" s="1">
        <v>45416.952928240738</v>
      </c>
      <c r="B857" s="1">
        <v>45416.995208333334</v>
      </c>
      <c r="C857">
        <v>60.69</v>
      </c>
      <c r="D857" s="2">
        <v>4.2141203703703702E-2</v>
      </c>
      <c r="E857">
        <v>12.345000000000001</v>
      </c>
      <c r="F857" s="2">
        <v>3.4027777777777784E-3</v>
      </c>
      <c r="G857">
        <v>12.21</v>
      </c>
      <c r="H857">
        <v>15.52</v>
      </c>
      <c r="I857">
        <v>156</v>
      </c>
      <c r="J857">
        <v>140</v>
      </c>
      <c r="K857">
        <v>854</v>
      </c>
      <c r="L857" s="2">
        <v>3.1249999999999997E-3</v>
      </c>
      <c r="M857" s="2">
        <v>1.6747685185185185E-2</v>
      </c>
      <c r="N857" s="2">
        <v>3.3888888888888885E-2</v>
      </c>
      <c r="O857" s="2">
        <v>0</v>
      </c>
      <c r="P857" s="2">
        <v>0</v>
      </c>
    </row>
    <row r="858" spans="1:16" x14ac:dyDescent="0.3">
      <c r="A858" s="1">
        <v>45418.732800925929</v>
      </c>
      <c r="B858" s="1">
        <v>45418.773668981485</v>
      </c>
      <c r="C858">
        <v>51.22</v>
      </c>
      <c r="D858" s="2">
        <v>3.5567129629629629E-2</v>
      </c>
      <c r="E858">
        <v>11.327999999999999</v>
      </c>
      <c r="F858" s="2">
        <v>3.1365740740740742E-3</v>
      </c>
      <c r="G858">
        <v>13.27</v>
      </c>
      <c r="H858">
        <v>19.21</v>
      </c>
      <c r="I858">
        <v>168</v>
      </c>
      <c r="J858">
        <v>139</v>
      </c>
      <c r="K858">
        <v>736</v>
      </c>
      <c r="L858" s="2">
        <v>2.8356481481481479E-3</v>
      </c>
      <c r="M858" s="2">
        <v>1.5127314814814816E-2</v>
      </c>
      <c r="N858" s="2">
        <v>3.1307870370370368E-2</v>
      </c>
      <c r="O858" s="2">
        <v>0</v>
      </c>
      <c r="P858" s="2">
        <v>0</v>
      </c>
    </row>
    <row r="859" spans="1:16" x14ac:dyDescent="0.3">
      <c r="A859" s="1">
        <v>45419.897418981483</v>
      </c>
      <c r="B859" s="1">
        <v>45419.93273148148</v>
      </c>
      <c r="C859">
        <v>50.67</v>
      </c>
      <c r="D859" s="2">
        <v>3.5185185185185187E-2</v>
      </c>
      <c r="E859">
        <v>10.25</v>
      </c>
      <c r="F859" s="2">
        <v>3.425925925925926E-3</v>
      </c>
      <c r="G859">
        <v>12.14</v>
      </c>
      <c r="H859">
        <v>16.09</v>
      </c>
      <c r="I859">
        <v>155</v>
      </c>
      <c r="J859">
        <v>144</v>
      </c>
      <c r="K859">
        <v>703</v>
      </c>
      <c r="L859" s="2">
        <v>3.3333333333333335E-3</v>
      </c>
      <c r="M859" s="2">
        <v>1.7002314814814814E-2</v>
      </c>
      <c r="N859" s="2">
        <v>3.4317129629629628E-2</v>
      </c>
      <c r="O859" s="2">
        <v>0</v>
      </c>
      <c r="P859" s="2">
        <v>0</v>
      </c>
    </row>
    <row r="860" spans="1:16" x14ac:dyDescent="0.3">
      <c r="A860" s="1">
        <v>45421.799004629633</v>
      </c>
      <c r="B860" s="1">
        <v>45421.807037037041</v>
      </c>
      <c r="C860">
        <v>11.58</v>
      </c>
      <c r="D860" s="2">
        <v>8.0324074074074065E-3</v>
      </c>
      <c r="E860">
        <v>2.1419999999999999</v>
      </c>
      <c r="F860" s="2">
        <v>3.7500000000000003E-3</v>
      </c>
      <c r="G860">
        <v>11.1</v>
      </c>
      <c r="H860">
        <v>13.81</v>
      </c>
      <c r="I860">
        <v>167</v>
      </c>
      <c r="J860">
        <v>145</v>
      </c>
      <c r="K860">
        <v>162</v>
      </c>
      <c r="L860" s="2">
        <v>3.5879629629629629E-3</v>
      </c>
      <c r="M860" s="2">
        <v>0</v>
      </c>
      <c r="N860" s="2">
        <v>0</v>
      </c>
      <c r="O860" s="2">
        <v>0</v>
      </c>
      <c r="P860" s="2">
        <v>0</v>
      </c>
    </row>
    <row r="861" spans="1:16" x14ac:dyDescent="0.3">
      <c r="A861" s="1">
        <v>45421.822094907409</v>
      </c>
      <c r="B861" s="1">
        <v>45421.841238425928</v>
      </c>
      <c r="C861">
        <v>27.57</v>
      </c>
      <c r="D861" s="2">
        <v>1.9143518518518518E-2</v>
      </c>
      <c r="E861">
        <v>7.0620000000000003</v>
      </c>
      <c r="F861" s="2">
        <v>2.7083333333333334E-3</v>
      </c>
      <c r="G861">
        <v>15.37</v>
      </c>
      <c r="H861">
        <v>20.46</v>
      </c>
      <c r="I861">
        <v>175</v>
      </c>
      <c r="J861">
        <v>164</v>
      </c>
      <c r="K861">
        <v>469</v>
      </c>
      <c r="L861" s="2">
        <v>2.5347222222222221E-3</v>
      </c>
      <c r="M861" s="2">
        <v>1.3460648148148147E-2</v>
      </c>
      <c r="N861" s="2">
        <v>0</v>
      </c>
      <c r="O861" s="2">
        <v>0</v>
      </c>
      <c r="P861" s="2">
        <v>0</v>
      </c>
    </row>
    <row r="862" spans="1:16" x14ac:dyDescent="0.3">
      <c r="A862" s="1">
        <v>45422.697824074072</v>
      </c>
      <c r="B862" s="1">
        <v>45422.73940972222</v>
      </c>
      <c r="C862">
        <v>50.73</v>
      </c>
      <c r="D862" s="2">
        <v>3.5219907407407408E-2</v>
      </c>
      <c r="E862">
        <v>10.404</v>
      </c>
      <c r="F862" s="2">
        <v>3.37962962962963E-3</v>
      </c>
      <c r="G862">
        <v>12.3</v>
      </c>
      <c r="H862">
        <v>15.42</v>
      </c>
      <c r="I862">
        <v>161</v>
      </c>
      <c r="J862">
        <v>144</v>
      </c>
      <c r="K862">
        <v>718</v>
      </c>
      <c r="L862" s="2">
        <v>3.0439814814814821E-3</v>
      </c>
      <c r="M862" s="2">
        <v>1.6597222222222222E-2</v>
      </c>
      <c r="N862" s="2">
        <v>3.3842592592592598E-2</v>
      </c>
      <c r="O862" s="2">
        <v>0</v>
      </c>
      <c r="P862" s="2">
        <v>0</v>
      </c>
    </row>
    <row r="863" spans="1:16" x14ac:dyDescent="0.3">
      <c r="A863" s="1">
        <v>45423.969629629632</v>
      </c>
      <c r="B863" s="1">
        <v>45424.006620370368</v>
      </c>
      <c r="C863">
        <v>53.28</v>
      </c>
      <c r="D863" s="2">
        <v>3.6990740740740741E-2</v>
      </c>
      <c r="E863">
        <v>10.053000000000001</v>
      </c>
      <c r="F863" s="2">
        <v>3.6689814814814814E-3</v>
      </c>
      <c r="G863">
        <v>11.32</v>
      </c>
      <c r="H863">
        <v>12.46</v>
      </c>
      <c r="I863">
        <v>152</v>
      </c>
      <c r="J863">
        <v>137</v>
      </c>
      <c r="K863">
        <v>704</v>
      </c>
      <c r="L863" s="2">
        <v>3.5648148148148154E-3</v>
      </c>
      <c r="M863" s="2">
        <v>1.8263888888888889E-2</v>
      </c>
      <c r="N863" s="2">
        <v>3.6805555555555557E-2</v>
      </c>
      <c r="O863" s="2">
        <v>0</v>
      </c>
      <c r="P863" s="2">
        <v>0</v>
      </c>
    </row>
    <row r="864" spans="1:16" x14ac:dyDescent="0.3">
      <c r="A864" s="1">
        <v>45425.64539351852</v>
      </c>
      <c r="B864" s="1">
        <v>45425.692986111113</v>
      </c>
      <c r="C864">
        <v>67.209999999999994</v>
      </c>
      <c r="D864" s="2">
        <v>4.6666666666666669E-2</v>
      </c>
      <c r="E864">
        <v>15.106</v>
      </c>
      <c r="F864" s="2">
        <v>3.0787037037037037E-3</v>
      </c>
      <c r="G864">
        <v>13.49</v>
      </c>
      <c r="H864">
        <v>17.7</v>
      </c>
      <c r="I864">
        <v>174</v>
      </c>
      <c r="J864">
        <v>154</v>
      </c>
      <c r="K864">
        <v>1040</v>
      </c>
      <c r="L864" s="2">
        <v>2.8124999999999995E-3</v>
      </c>
      <c r="M864" s="2">
        <v>1.4907407407407406E-2</v>
      </c>
      <c r="N864" s="2">
        <v>3.0324074074074073E-2</v>
      </c>
      <c r="O864" s="2">
        <v>0</v>
      </c>
      <c r="P864" s="2">
        <v>0</v>
      </c>
    </row>
    <row r="865" spans="1:16" x14ac:dyDescent="0.3">
      <c r="A865" s="1">
        <v>45427.722280092596</v>
      </c>
      <c r="B865" s="1">
        <v>45427.755868055552</v>
      </c>
      <c r="C865">
        <v>47.36</v>
      </c>
      <c r="D865" s="2">
        <v>3.2881944444444443E-2</v>
      </c>
      <c r="E865">
        <v>11.109</v>
      </c>
      <c r="F865" s="2">
        <v>2.9513888888888888E-3</v>
      </c>
      <c r="G865">
        <v>14.07</v>
      </c>
      <c r="H865">
        <v>15.96</v>
      </c>
      <c r="I865">
        <v>171</v>
      </c>
      <c r="J865">
        <v>158</v>
      </c>
      <c r="K865">
        <v>746</v>
      </c>
      <c r="L865" s="2">
        <v>2.673611111111111E-3</v>
      </c>
      <c r="M865" s="2">
        <v>1.4305555555555557E-2</v>
      </c>
      <c r="N865" s="2">
        <v>2.9247685185185186E-2</v>
      </c>
      <c r="O865" s="2">
        <v>0</v>
      </c>
      <c r="P865" s="2">
        <v>0</v>
      </c>
    </row>
    <row r="866" spans="1:16" x14ac:dyDescent="0.3">
      <c r="A866" s="1">
        <v>45429.233668981484</v>
      </c>
      <c r="B866" s="1">
        <v>45429.315416666665</v>
      </c>
      <c r="C866">
        <v>114.74</v>
      </c>
      <c r="D866" s="2">
        <v>7.9675925925925928E-2</v>
      </c>
      <c r="E866">
        <v>22.058</v>
      </c>
      <c r="F866" s="2">
        <v>3.6111111111111114E-3</v>
      </c>
      <c r="G866">
        <v>11.53</v>
      </c>
      <c r="H866">
        <v>13.87</v>
      </c>
      <c r="I866">
        <v>163</v>
      </c>
      <c r="J866">
        <v>139</v>
      </c>
      <c r="K866">
        <v>1533</v>
      </c>
      <c r="L866" s="2">
        <v>3.3217592592592591E-3</v>
      </c>
      <c r="M866" s="2">
        <v>1.7314814814814814E-2</v>
      </c>
      <c r="N866" s="2">
        <v>3.4791666666666672E-2</v>
      </c>
      <c r="O866" s="2">
        <v>7.570601851851852E-2</v>
      </c>
      <c r="P866" s="2">
        <v>0</v>
      </c>
    </row>
    <row r="867" spans="1:16" x14ac:dyDescent="0.3">
      <c r="A867" s="1">
        <v>45430.948981481481</v>
      </c>
      <c r="B867" s="1">
        <v>45430.985868055555</v>
      </c>
      <c r="C867">
        <v>52.86</v>
      </c>
      <c r="D867" s="2">
        <v>3.6701388888888888E-2</v>
      </c>
      <c r="E867">
        <v>10.500999999999999</v>
      </c>
      <c r="F867" s="2">
        <v>3.4953703703703705E-3</v>
      </c>
      <c r="G867">
        <v>11.92</v>
      </c>
      <c r="H867">
        <v>14.54</v>
      </c>
      <c r="I867">
        <v>165</v>
      </c>
      <c r="J867">
        <v>143</v>
      </c>
      <c r="K867">
        <v>729</v>
      </c>
      <c r="L867" s="2">
        <v>3.1365740740740742E-3</v>
      </c>
      <c r="M867" s="2">
        <v>1.7175925925925924E-2</v>
      </c>
      <c r="N867" s="2">
        <v>3.4895833333333334E-2</v>
      </c>
      <c r="O867" s="2">
        <v>0</v>
      </c>
      <c r="P867" s="2">
        <v>0</v>
      </c>
    </row>
    <row r="868" spans="1:16" x14ac:dyDescent="0.3">
      <c r="A868" s="1">
        <v>45432.723564814813</v>
      </c>
      <c r="B868" s="1">
        <v>45432.780335648145</v>
      </c>
      <c r="C868">
        <v>65.260000000000005</v>
      </c>
      <c r="D868" s="2">
        <v>4.5312499999999999E-2</v>
      </c>
      <c r="E868">
        <v>14.055</v>
      </c>
      <c r="F868" s="2">
        <v>3.2175925925925926E-3</v>
      </c>
      <c r="G868">
        <v>12.92</v>
      </c>
      <c r="H868">
        <v>20.22</v>
      </c>
      <c r="I868">
        <v>181</v>
      </c>
      <c r="J868">
        <v>151</v>
      </c>
      <c r="K868">
        <v>945</v>
      </c>
      <c r="L868" s="2">
        <v>2.9282407407407412E-3</v>
      </c>
      <c r="M868" s="2">
        <v>1.5335648148148147E-2</v>
      </c>
      <c r="N868" s="2">
        <v>3.2048611111111111E-2</v>
      </c>
      <c r="O868" s="2">
        <v>0</v>
      </c>
      <c r="P868" s="2">
        <v>0</v>
      </c>
    </row>
    <row r="869" spans="1:16" x14ac:dyDescent="0.3">
      <c r="A869" s="1">
        <v>45434.719328703701</v>
      </c>
      <c r="B869" s="1">
        <v>45434.756736111114</v>
      </c>
      <c r="C869">
        <v>51</v>
      </c>
      <c r="D869" s="2">
        <v>3.5416666666666666E-2</v>
      </c>
      <c r="E869">
        <v>11.404</v>
      </c>
      <c r="F869" s="2">
        <v>3.1018518518518522E-3</v>
      </c>
      <c r="G869">
        <v>13.42</v>
      </c>
      <c r="H869">
        <v>17.03</v>
      </c>
      <c r="I869">
        <v>175</v>
      </c>
      <c r="J869">
        <v>159</v>
      </c>
      <c r="K869">
        <v>793</v>
      </c>
      <c r="L869" s="2">
        <v>2.7083333333333334E-3</v>
      </c>
      <c r="M869" s="2">
        <v>1.5011574074074075E-2</v>
      </c>
      <c r="N869" s="2">
        <v>3.0729166666666669E-2</v>
      </c>
      <c r="O869" s="2">
        <v>0</v>
      </c>
      <c r="P869" s="2">
        <v>0</v>
      </c>
    </row>
    <row r="870" spans="1:16" x14ac:dyDescent="0.3">
      <c r="A870" s="1">
        <v>45436.220081018517</v>
      </c>
      <c r="B870" s="1">
        <v>45436.305162037039</v>
      </c>
      <c r="C870">
        <v>117.37</v>
      </c>
      <c r="D870" s="2">
        <v>8.1504629629629635E-2</v>
      </c>
      <c r="E870">
        <v>23.064</v>
      </c>
      <c r="F870" s="2">
        <v>3.530092592592592E-3</v>
      </c>
      <c r="G870">
        <v>11.79</v>
      </c>
      <c r="H870">
        <v>13.03</v>
      </c>
      <c r="I870">
        <v>164</v>
      </c>
      <c r="J870">
        <v>143</v>
      </c>
      <c r="K870">
        <v>1606</v>
      </c>
      <c r="L870" s="2">
        <v>3.4027777777777784E-3</v>
      </c>
      <c r="M870" s="2">
        <v>1.7291666666666667E-2</v>
      </c>
      <c r="N870" s="2">
        <v>3.4687500000000003E-2</v>
      </c>
      <c r="O870" s="2">
        <v>7.4166666666666659E-2</v>
      </c>
      <c r="P870" s="2">
        <v>0</v>
      </c>
    </row>
    <row r="871" spans="1:16" x14ac:dyDescent="0.3">
      <c r="A871" s="1">
        <v>45438.753460648149</v>
      </c>
      <c r="B871" s="1">
        <v>45438.781331018516</v>
      </c>
      <c r="C871">
        <v>40.130000000000003</v>
      </c>
      <c r="D871" s="2">
        <v>2.7858796296296298E-2</v>
      </c>
      <c r="E871">
        <v>8.4</v>
      </c>
      <c r="F871" s="2">
        <v>3.3564814814814811E-3</v>
      </c>
      <c r="G871">
        <v>12.41</v>
      </c>
      <c r="H871">
        <v>16.760000000000002</v>
      </c>
      <c r="I871">
        <v>152</v>
      </c>
      <c r="J871">
        <v>136</v>
      </c>
      <c r="K871">
        <v>668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</row>
    <row r="872" spans="1:16" x14ac:dyDescent="0.3">
      <c r="A872" s="1">
        <v>45439.926354166666</v>
      </c>
      <c r="B872" s="1">
        <v>45439.964236111111</v>
      </c>
      <c r="C872">
        <v>54.56</v>
      </c>
      <c r="D872" s="2">
        <v>3.788194444444444E-2</v>
      </c>
      <c r="E872">
        <v>12.209</v>
      </c>
      <c r="F872" s="2">
        <v>3.1018518518518522E-3</v>
      </c>
      <c r="G872">
        <v>13.43</v>
      </c>
      <c r="H872">
        <v>16.29</v>
      </c>
      <c r="I872">
        <v>170</v>
      </c>
      <c r="J872">
        <v>152</v>
      </c>
      <c r="K872">
        <v>847</v>
      </c>
      <c r="L872" s="2">
        <v>2.8587962962962963E-3</v>
      </c>
      <c r="M872" s="2">
        <v>1.5231481481481483E-2</v>
      </c>
      <c r="N872" s="2">
        <v>3.0578703703703702E-2</v>
      </c>
      <c r="O872" s="2">
        <v>0</v>
      </c>
      <c r="P872" s="2">
        <v>0</v>
      </c>
    </row>
    <row r="873" spans="1:16" x14ac:dyDescent="0.3">
      <c r="A873" s="1">
        <v>45441.724456018521</v>
      </c>
      <c r="B873" s="1">
        <v>45441.759768518517</v>
      </c>
      <c r="C873">
        <v>49.35</v>
      </c>
      <c r="D873" s="2">
        <v>3.4270833333333334E-2</v>
      </c>
      <c r="E873">
        <v>10.555999999999999</v>
      </c>
      <c r="F873" s="2">
        <v>3.0902777777777782E-3</v>
      </c>
      <c r="G873">
        <v>13.43</v>
      </c>
      <c r="H873">
        <v>16.12</v>
      </c>
      <c r="I873">
        <v>173</v>
      </c>
      <c r="J873">
        <v>156</v>
      </c>
      <c r="K873">
        <v>647</v>
      </c>
      <c r="L873" s="2">
        <v>2.9282407407407412E-3</v>
      </c>
      <c r="M873" s="2">
        <v>1.5601851851851851E-2</v>
      </c>
      <c r="N873" s="2">
        <v>3.2083333333333332E-2</v>
      </c>
      <c r="O873" s="2">
        <v>0</v>
      </c>
      <c r="P873" s="2">
        <v>0</v>
      </c>
    </row>
    <row r="874" spans="1:16" x14ac:dyDescent="0.3">
      <c r="A874" s="1">
        <v>45442.509259259263</v>
      </c>
      <c r="B874" s="1">
        <v>45442.537511574075</v>
      </c>
      <c r="C874">
        <v>39.53</v>
      </c>
      <c r="D874" s="2">
        <v>2.7453703703703702E-2</v>
      </c>
      <c r="E874">
        <v>7.2519999999999998</v>
      </c>
      <c r="F874" s="2">
        <v>3.7847222222222223E-3</v>
      </c>
      <c r="G874">
        <v>11.01</v>
      </c>
      <c r="H874">
        <v>17.100000000000001</v>
      </c>
      <c r="I874">
        <v>170</v>
      </c>
      <c r="J874">
        <v>134</v>
      </c>
      <c r="K874">
        <v>478</v>
      </c>
      <c r="L874" s="2">
        <v>2.6967592592592594E-3</v>
      </c>
      <c r="M874" s="2">
        <v>1.7789351851851851E-2</v>
      </c>
      <c r="N874" s="2">
        <v>0</v>
      </c>
      <c r="O874" s="2">
        <v>0</v>
      </c>
      <c r="P874" s="2">
        <v>0</v>
      </c>
    </row>
    <row r="875" spans="1:16" x14ac:dyDescent="0.3">
      <c r="A875" s="1">
        <v>45443.711435185185</v>
      </c>
      <c r="B875" s="1">
        <v>45443.746157407404</v>
      </c>
      <c r="C875">
        <v>50.01</v>
      </c>
      <c r="D875" s="2">
        <v>3.4722222222222224E-2</v>
      </c>
      <c r="E875">
        <v>10.500999999999999</v>
      </c>
      <c r="F875" s="2">
        <v>3.2986111111111111E-3</v>
      </c>
      <c r="G875">
        <v>12.6</v>
      </c>
      <c r="H875">
        <v>17.13</v>
      </c>
      <c r="I875">
        <v>164</v>
      </c>
      <c r="J875">
        <v>148</v>
      </c>
      <c r="K875">
        <v>716</v>
      </c>
      <c r="L875" s="2">
        <v>2.9629629629629628E-3</v>
      </c>
      <c r="M875" s="2">
        <v>1.6111111111111111E-2</v>
      </c>
      <c r="N875" s="2">
        <v>3.2962962962962965E-2</v>
      </c>
      <c r="O875" s="2">
        <v>0</v>
      </c>
      <c r="P875" s="2">
        <v>0</v>
      </c>
    </row>
    <row r="876" spans="1:16" x14ac:dyDescent="0.3">
      <c r="A876" s="1">
        <v>45444.953969907408</v>
      </c>
      <c r="B876" s="1">
        <v>45444.993634259263</v>
      </c>
      <c r="C876">
        <v>57.12</v>
      </c>
      <c r="D876" s="2">
        <v>3.9664351851851853E-2</v>
      </c>
      <c r="E876">
        <v>11.115</v>
      </c>
      <c r="F876" s="2">
        <v>3.5648148148148154E-3</v>
      </c>
      <c r="G876">
        <v>11.68</v>
      </c>
      <c r="H876">
        <v>14.14</v>
      </c>
      <c r="I876">
        <v>147</v>
      </c>
      <c r="J876">
        <v>137</v>
      </c>
      <c r="K876">
        <v>752</v>
      </c>
      <c r="L876" s="2">
        <v>3.3564814814814811E-3</v>
      </c>
      <c r="M876" s="2">
        <v>1.7523148148148149E-2</v>
      </c>
      <c r="N876" s="2">
        <v>3.5590277777777776E-2</v>
      </c>
      <c r="O876" s="2">
        <v>0</v>
      </c>
      <c r="P876" s="2">
        <v>0</v>
      </c>
    </row>
    <row r="877" spans="1:16" x14ac:dyDescent="0.3">
      <c r="A877" s="1">
        <v>45446.744386574072</v>
      </c>
      <c r="B877" s="1">
        <v>45446.791400462964</v>
      </c>
      <c r="C877">
        <v>51.46</v>
      </c>
      <c r="D877" s="2">
        <v>3.5729166666666666E-2</v>
      </c>
      <c r="E877">
        <v>11.114000000000001</v>
      </c>
      <c r="F877" s="2">
        <v>3.2060185185185191E-3</v>
      </c>
      <c r="G877">
        <v>12.96</v>
      </c>
      <c r="H877">
        <v>18.88</v>
      </c>
      <c r="I877">
        <v>171</v>
      </c>
      <c r="J877">
        <v>149</v>
      </c>
      <c r="K877">
        <v>765</v>
      </c>
      <c r="L877" s="2">
        <v>2.673611111111111E-3</v>
      </c>
      <c r="M877" s="2">
        <v>1.5405092592592593E-2</v>
      </c>
      <c r="N877" s="2">
        <v>3.172453703703703E-2</v>
      </c>
      <c r="O877" s="2">
        <v>0</v>
      </c>
      <c r="P877" s="2">
        <v>0</v>
      </c>
    </row>
    <row r="878" spans="1:16" x14ac:dyDescent="0.3">
      <c r="A878" s="1">
        <v>45447.770590277774</v>
      </c>
      <c r="B878" s="1">
        <v>45447.793321759258</v>
      </c>
      <c r="C878">
        <v>32.729999999999997</v>
      </c>
      <c r="D878" s="2">
        <v>2.2731481481481481E-2</v>
      </c>
      <c r="E878">
        <v>6.8639999999999999</v>
      </c>
      <c r="F878" s="2">
        <v>3.4953703703703705E-3</v>
      </c>
      <c r="G878">
        <v>11.91</v>
      </c>
      <c r="H878">
        <v>19.21</v>
      </c>
      <c r="I878">
        <v>142</v>
      </c>
      <c r="J878">
        <v>132</v>
      </c>
      <c r="K878">
        <v>525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</row>
    <row r="879" spans="1:16" x14ac:dyDescent="0.3">
      <c r="A879" s="1">
        <v>45448.733368055553</v>
      </c>
      <c r="B879" s="1">
        <v>45448.755590277775</v>
      </c>
      <c r="C879">
        <v>32</v>
      </c>
      <c r="D879" s="2">
        <v>2.2222222222222223E-2</v>
      </c>
      <c r="E879">
        <v>6.7480000000000002</v>
      </c>
      <c r="F879" s="2">
        <v>3.5532407407407405E-3</v>
      </c>
      <c r="G879">
        <v>11.72</v>
      </c>
      <c r="H879">
        <v>16.190000000000001</v>
      </c>
      <c r="I879">
        <v>140</v>
      </c>
      <c r="J879">
        <v>131</v>
      </c>
      <c r="K879">
        <v>505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</row>
    <row r="880" spans="1:16" x14ac:dyDescent="0.3">
      <c r="A880" s="1">
        <v>45449.823344907411</v>
      </c>
      <c r="B880" s="1">
        <v>45449.832384259258</v>
      </c>
      <c r="C880">
        <v>12.16</v>
      </c>
      <c r="D880" s="2">
        <v>8.4375000000000006E-3</v>
      </c>
      <c r="E880">
        <v>2.222</v>
      </c>
      <c r="F880" s="2">
        <v>3.7962962962962963E-3</v>
      </c>
      <c r="G880">
        <v>10.97</v>
      </c>
      <c r="H880">
        <v>11.92</v>
      </c>
      <c r="I880">
        <v>154</v>
      </c>
      <c r="J880">
        <v>140</v>
      </c>
      <c r="K880">
        <v>166</v>
      </c>
      <c r="L880" s="2">
        <v>3.7152777777777774E-3</v>
      </c>
      <c r="M880" s="2">
        <v>0</v>
      </c>
      <c r="N880" s="2">
        <v>0</v>
      </c>
      <c r="O880" s="2">
        <v>0</v>
      </c>
      <c r="P880" s="2">
        <v>0</v>
      </c>
    </row>
    <row r="881" spans="1:16" x14ac:dyDescent="0.3">
      <c r="A881" s="1">
        <v>45449.868796296294</v>
      </c>
      <c r="B881" s="1">
        <v>45449.896458333336</v>
      </c>
      <c r="C881">
        <v>39.08</v>
      </c>
      <c r="D881" s="2">
        <v>2.7141203703703706E-2</v>
      </c>
      <c r="E881">
        <v>9.73</v>
      </c>
      <c r="F881" s="2">
        <v>2.6967592592592594E-3</v>
      </c>
      <c r="G881">
        <v>15.4</v>
      </c>
      <c r="H881">
        <v>16.89</v>
      </c>
      <c r="I881">
        <v>177</v>
      </c>
      <c r="J881">
        <v>172</v>
      </c>
      <c r="K881">
        <v>651</v>
      </c>
      <c r="L881" s="2">
        <v>2.4768518518518516E-3</v>
      </c>
      <c r="M881" s="2">
        <v>1.3182870370370371E-2</v>
      </c>
      <c r="N881" s="2">
        <v>2.704861111111111E-2</v>
      </c>
      <c r="O881" s="2">
        <v>0</v>
      </c>
      <c r="P881" s="2">
        <v>0</v>
      </c>
    </row>
    <row r="882" spans="1:16" x14ac:dyDescent="0.3">
      <c r="A882" s="1">
        <v>45451.983958333331</v>
      </c>
      <c r="B882" s="1">
        <v>45452.023263888892</v>
      </c>
      <c r="C882">
        <v>55</v>
      </c>
      <c r="D882" s="2">
        <v>3.8194444444444441E-2</v>
      </c>
      <c r="E882">
        <v>10.404999999999999</v>
      </c>
      <c r="F882" s="2">
        <v>3.6689814814814814E-3</v>
      </c>
      <c r="G882">
        <v>11.35</v>
      </c>
      <c r="H882">
        <v>14.41</v>
      </c>
      <c r="I882">
        <v>154</v>
      </c>
      <c r="J882">
        <v>136</v>
      </c>
      <c r="K882">
        <v>637</v>
      </c>
      <c r="L882" s="2">
        <v>3.4375E-3</v>
      </c>
      <c r="M882" s="2">
        <v>1.8055555555555557E-2</v>
      </c>
      <c r="N882" s="2">
        <v>4.3645833333333335E-2</v>
      </c>
      <c r="O882" s="2">
        <v>0</v>
      </c>
      <c r="P882" s="2">
        <v>0</v>
      </c>
    </row>
    <row r="883" spans="1:16" x14ac:dyDescent="0.3">
      <c r="A883" s="1">
        <v>45452.755729166667</v>
      </c>
      <c r="B883" s="1">
        <v>45452.777256944442</v>
      </c>
      <c r="C883">
        <v>31</v>
      </c>
      <c r="D883" s="2">
        <v>2.1527777777777781E-2</v>
      </c>
      <c r="E883">
        <v>6.1470000000000002</v>
      </c>
      <c r="F883" s="2">
        <v>3.483796296296296E-3</v>
      </c>
      <c r="G883">
        <v>11.92</v>
      </c>
      <c r="H883">
        <v>17.16</v>
      </c>
      <c r="I883">
        <v>145</v>
      </c>
      <c r="J883">
        <v>129</v>
      </c>
      <c r="K883">
        <v>497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</row>
    <row r="884" spans="1:16" x14ac:dyDescent="0.3">
      <c r="A884" s="1">
        <v>45453.724629629629</v>
      </c>
      <c r="B884" s="1">
        <v>45453.778634259259</v>
      </c>
      <c r="C884">
        <v>65.14</v>
      </c>
      <c r="D884" s="2">
        <v>4.5231481481481484E-2</v>
      </c>
      <c r="E884">
        <v>14.506</v>
      </c>
      <c r="F884" s="2">
        <v>3.1134259259259257E-3</v>
      </c>
      <c r="G884">
        <v>13.36</v>
      </c>
      <c r="H884">
        <v>19.579999999999998</v>
      </c>
      <c r="I884">
        <v>172</v>
      </c>
      <c r="J884">
        <v>149</v>
      </c>
      <c r="K884">
        <v>958</v>
      </c>
      <c r="L884" s="2">
        <v>2.5694444444444445E-3</v>
      </c>
      <c r="M884" s="2">
        <v>1.4537037037037038E-2</v>
      </c>
      <c r="N884" s="2">
        <v>3.0358796296296297E-2</v>
      </c>
      <c r="O884" s="2">
        <v>0</v>
      </c>
      <c r="P884" s="2">
        <v>0</v>
      </c>
    </row>
    <row r="885" spans="1:16" x14ac:dyDescent="0.3">
      <c r="A885" s="1">
        <v>45455.936493055553</v>
      </c>
      <c r="B885" s="1">
        <v>45455.982141203705</v>
      </c>
      <c r="C885">
        <v>65.739999999999995</v>
      </c>
      <c r="D885" s="2">
        <v>4.5648148148148153E-2</v>
      </c>
      <c r="E885">
        <v>13.313000000000001</v>
      </c>
      <c r="F885" s="2">
        <v>3.425925925925926E-3</v>
      </c>
      <c r="G885">
        <v>12.15</v>
      </c>
      <c r="H885">
        <v>15.89</v>
      </c>
      <c r="I885">
        <v>163</v>
      </c>
      <c r="J885">
        <v>149</v>
      </c>
      <c r="K885">
        <v>941</v>
      </c>
      <c r="L885" s="2">
        <v>3.1365740740740742E-3</v>
      </c>
      <c r="M885" s="2">
        <v>1.6782407407407409E-2</v>
      </c>
      <c r="N885" s="2">
        <v>3.3969907407407407E-2</v>
      </c>
      <c r="O885" s="2">
        <v>0</v>
      </c>
      <c r="P885" s="2">
        <v>0</v>
      </c>
    </row>
    <row r="886" spans="1:16" x14ac:dyDescent="0.3">
      <c r="A886" s="1">
        <v>45456.976921296293</v>
      </c>
      <c r="B886" s="1">
        <v>45457.040532407409</v>
      </c>
      <c r="C886">
        <v>90.16</v>
      </c>
      <c r="D886" s="2">
        <v>6.2604166666666669E-2</v>
      </c>
      <c r="E886">
        <v>18.603000000000002</v>
      </c>
      <c r="F886" s="2">
        <v>3.3564814814814811E-3</v>
      </c>
      <c r="G886">
        <v>12.38</v>
      </c>
      <c r="H886">
        <v>15.08</v>
      </c>
      <c r="I886">
        <v>176</v>
      </c>
      <c r="J886">
        <v>159</v>
      </c>
      <c r="K886">
        <v>1349</v>
      </c>
      <c r="L886" s="2">
        <v>3.1712962962962958E-3</v>
      </c>
      <c r="M886" s="2">
        <v>1.6597222222222222E-2</v>
      </c>
      <c r="N886" s="2">
        <v>3.3541666666666664E-2</v>
      </c>
      <c r="O886" s="2">
        <v>0</v>
      </c>
      <c r="P886" s="2">
        <v>0</v>
      </c>
    </row>
    <row r="887" spans="1:16" x14ac:dyDescent="0.3">
      <c r="A887" s="1">
        <v>45458.974895833337</v>
      </c>
      <c r="B887" s="1">
        <v>45459.013368055559</v>
      </c>
      <c r="C887">
        <v>55.4</v>
      </c>
      <c r="D887" s="2">
        <v>3.847222222222222E-2</v>
      </c>
      <c r="E887">
        <v>11.113</v>
      </c>
      <c r="F887" s="2">
        <v>3.4606481481481485E-3</v>
      </c>
      <c r="G887">
        <v>12.04</v>
      </c>
      <c r="H887">
        <v>14.11</v>
      </c>
      <c r="I887">
        <v>166</v>
      </c>
      <c r="J887">
        <v>147</v>
      </c>
      <c r="K887">
        <v>784</v>
      </c>
      <c r="L887" s="2">
        <v>3.1944444444444442E-3</v>
      </c>
      <c r="M887" s="2">
        <v>1.6909722222222225E-2</v>
      </c>
      <c r="N887" s="2">
        <v>3.4409722222222223E-2</v>
      </c>
      <c r="O887" s="2">
        <v>0</v>
      </c>
      <c r="P887" s="2">
        <v>0</v>
      </c>
    </row>
    <row r="888" spans="1:16" x14ac:dyDescent="0.3">
      <c r="A888" s="1">
        <v>45460.724409722221</v>
      </c>
      <c r="B888" s="1">
        <v>45460.768125000002</v>
      </c>
      <c r="C888">
        <v>54.43</v>
      </c>
      <c r="D888" s="2">
        <v>3.7789351851851852E-2</v>
      </c>
      <c r="E888">
        <v>11.776</v>
      </c>
      <c r="F888" s="2">
        <v>3.2060185185185191E-3</v>
      </c>
      <c r="G888">
        <v>12.98</v>
      </c>
      <c r="H888">
        <v>19.28</v>
      </c>
      <c r="I888">
        <v>175</v>
      </c>
      <c r="J888">
        <v>148</v>
      </c>
      <c r="K888">
        <v>773</v>
      </c>
      <c r="L888" s="2">
        <v>2.7893518518518519E-3</v>
      </c>
      <c r="M888" s="2">
        <v>1.4583333333333332E-2</v>
      </c>
      <c r="N888" s="2">
        <v>3.1990740740740743E-2</v>
      </c>
      <c r="O888" s="2">
        <v>0</v>
      </c>
      <c r="P888" s="2">
        <v>0</v>
      </c>
    </row>
    <row r="889" spans="1:16" x14ac:dyDescent="0.3">
      <c r="A889" s="1">
        <v>45461.756874999999</v>
      </c>
      <c r="B889" s="1">
        <v>45461.777881944443</v>
      </c>
      <c r="C889">
        <v>30.25</v>
      </c>
      <c r="D889" s="2">
        <v>2.1006944444444443E-2</v>
      </c>
      <c r="E889">
        <v>6.8639999999999999</v>
      </c>
      <c r="F889" s="2">
        <v>2.9282407407407412E-3</v>
      </c>
      <c r="G889">
        <v>14.18</v>
      </c>
      <c r="H889">
        <v>20.66</v>
      </c>
      <c r="I889">
        <v>168</v>
      </c>
      <c r="J889">
        <v>150</v>
      </c>
      <c r="K889">
        <v>504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</row>
    <row r="890" spans="1:16" x14ac:dyDescent="0.3">
      <c r="A890" s="1">
        <v>45462.905844907407</v>
      </c>
      <c r="B890" s="1">
        <v>45462.942349537036</v>
      </c>
      <c r="C890">
        <v>52.58</v>
      </c>
      <c r="D890" s="2">
        <v>3.650462962962963E-2</v>
      </c>
      <c r="E890">
        <v>10.204000000000001</v>
      </c>
      <c r="F890" s="2">
        <v>3.5763888888888894E-3</v>
      </c>
      <c r="G890">
        <v>11.64</v>
      </c>
      <c r="H890">
        <v>12.87</v>
      </c>
      <c r="I890">
        <v>152</v>
      </c>
      <c r="J890">
        <v>142</v>
      </c>
      <c r="K890">
        <v>724</v>
      </c>
      <c r="L890" s="2">
        <v>3.4027777777777784E-3</v>
      </c>
      <c r="M890" s="2">
        <v>1.7719907407407406E-2</v>
      </c>
      <c r="N890" s="2">
        <v>3.577546296296296E-2</v>
      </c>
      <c r="O890" s="2">
        <v>0</v>
      </c>
      <c r="P890" s="2">
        <v>0</v>
      </c>
    </row>
    <row r="891" spans="1:16" x14ac:dyDescent="0.3">
      <c r="A891" s="1">
        <v>45464.206967592596</v>
      </c>
      <c r="B891" s="1">
        <v>45464.296273148146</v>
      </c>
      <c r="C891">
        <v>125.38</v>
      </c>
      <c r="D891" s="2">
        <v>8.7060185185185171E-2</v>
      </c>
      <c r="E891">
        <v>26.204000000000001</v>
      </c>
      <c r="F891" s="2">
        <v>3.3217592592592591E-3</v>
      </c>
      <c r="G891">
        <v>12.54</v>
      </c>
      <c r="H891">
        <v>16.73</v>
      </c>
      <c r="I891">
        <v>163</v>
      </c>
      <c r="J891">
        <v>147</v>
      </c>
      <c r="K891">
        <v>1815</v>
      </c>
      <c r="L891" s="2">
        <v>2.9398148148148148E-3</v>
      </c>
      <c r="M891" s="2">
        <v>1.5428240740740741E-2</v>
      </c>
      <c r="N891" s="2">
        <v>3.1666666666666669E-2</v>
      </c>
      <c r="O891" s="2">
        <v>6.9155092592592601E-2</v>
      </c>
      <c r="P891" s="2">
        <v>0</v>
      </c>
    </row>
    <row r="892" spans="1:16" x14ac:dyDescent="0.3">
      <c r="A892" s="1">
        <v>45465.961689814816</v>
      </c>
      <c r="B892" s="1">
        <v>45465.999189814815</v>
      </c>
      <c r="C892">
        <v>51.35</v>
      </c>
      <c r="D892" s="2">
        <v>3.5648148148148151E-2</v>
      </c>
      <c r="E892">
        <v>10.202999999999999</v>
      </c>
      <c r="F892" s="2">
        <v>3.483796296296296E-3</v>
      </c>
      <c r="G892">
        <v>11.92</v>
      </c>
      <c r="H892">
        <v>14.48</v>
      </c>
      <c r="I892">
        <v>158</v>
      </c>
      <c r="J892">
        <v>139</v>
      </c>
      <c r="K892">
        <v>709</v>
      </c>
      <c r="L892" s="2">
        <v>3.2291666666666666E-3</v>
      </c>
      <c r="M892" s="2">
        <v>1.7222222222222222E-2</v>
      </c>
      <c r="N892" s="2">
        <v>3.4942129629629635E-2</v>
      </c>
      <c r="O892" s="2">
        <v>0</v>
      </c>
      <c r="P892" s="2">
        <v>0</v>
      </c>
    </row>
    <row r="893" spans="1:16" x14ac:dyDescent="0.3">
      <c r="A893" s="1">
        <v>45467.725219907406</v>
      </c>
      <c r="B893" s="1">
        <v>45467.741527777776</v>
      </c>
      <c r="C893">
        <v>23.5</v>
      </c>
      <c r="D893" s="2">
        <v>1.6307870370370372E-2</v>
      </c>
      <c r="E893">
        <v>5.3449999999999998</v>
      </c>
      <c r="F893" s="2">
        <v>3.0439814814814821E-3</v>
      </c>
      <c r="G893">
        <v>13.65</v>
      </c>
      <c r="H893">
        <v>15.45</v>
      </c>
      <c r="I893">
        <v>173</v>
      </c>
      <c r="J893">
        <v>152</v>
      </c>
      <c r="K893">
        <v>360</v>
      </c>
      <c r="L893" s="2">
        <v>2.8240740740740739E-3</v>
      </c>
      <c r="M893" s="2">
        <v>1.494212962962963E-2</v>
      </c>
      <c r="N893" s="2">
        <v>0</v>
      </c>
      <c r="O893" s="2">
        <v>0</v>
      </c>
      <c r="P893" s="2">
        <v>0</v>
      </c>
    </row>
    <row r="894" spans="1:16" x14ac:dyDescent="0.3">
      <c r="A894" s="1">
        <v>45467.746435185189</v>
      </c>
      <c r="B894" s="1">
        <v>45467.78019675926</v>
      </c>
      <c r="C894">
        <v>33.76</v>
      </c>
      <c r="D894" s="2">
        <v>2.34375E-2</v>
      </c>
      <c r="E894">
        <v>7.5229999999999997</v>
      </c>
      <c r="F894" s="2">
        <v>3.1134259259259257E-3</v>
      </c>
      <c r="G894">
        <v>13.37</v>
      </c>
      <c r="H894">
        <v>17.399999999999999</v>
      </c>
      <c r="I894">
        <v>177</v>
      </c>
      <c r="J894">
        <v>153</v>
      </c>
      <c r="K894">
        <v>504</v>
      </c>
      <c r="L894" s="2">
        <v>2.7893518518518519E-3</v>
      </c>
      <c r="M894" s="2">
        <v>1.4733796296296295E-2</v>
      </c>
      <c r="N894" s="2">
        <v>0</v>
      </c>
      <c r="O894" s="2">
        <v>0</v>
      </c>
      <c r="P894" s="2">
        <v>0</v>
      </c>
    </row>
    <row r="895" spans="1:16" x14ac:dyDescent="0.3">
      <c r="A895" s="1">
        <v>45469.717638888891</v>
      </c>
      <c r="B895" s="1">
        <v>45469.755486111113</v>
      </c>
      <c r="C895">
        <v>51.93</v>
      </c>
      <c r="D895" s="2">
        <v>3.605324074074074E-2</v>
      </c>
      <c r="E895">
        <v>11.115</v>
      </c>
      <c r="F895" s="2">
        <v>3.2407407407407406E-3</v>
      </c>
      <c r="G895">
        <v>12.84</v>
      </c>
      <c r="H895">
        <v>15.69</v>
      </c>
      <c r="I895">
        <v>171</v>
      </c>
      <c r="J895">
        <v>154</v>
      </c>
      <c r="K895">
        <v>786</v>
      </c>
      <c r="L895" s="2">
        <v>2.9050925925925928E-3</v>
      </c>
      <c r="M895" s="2">
        <v>1.5601851851851851E-2</v>
      </c>
      <c r="N895" s="2">
        <v>3.2141203703703707E-2</v>
      </c>
      <c r="O895" s="2">
        <v>0</v>
      </c>
      <c r="P895" s="2">
        <v>0</v>
      </c>
    </row>
    <row r="896" spans="1:16" x14ac:dyDescent="0.3">
      <c r="A896" s="1">
        <v>45471.200555555559</v>
      </c>
      <c r="B896" s="1">
        <v>45471.295069444444</v>
      </c>
      <c r="C896">
        <v>131.79</v>
      </c>
      <c r="D896" s="2">
        <v>9.1516203703703711E-2</v>
      </c>
      <c r="E896">
        <v>28.704000000000001</v>
      </c>
      <c r="F896" s="2">
        <v>3.1828703703703702E-3</v>
      </c>
      <c r="G896">
        <v>13.07</v>
      </c>
      <c r="H896">
        <v>15.18</v>
      </c>
      <c r="I896">
        <v>174</v>
      </c>
      <c r="J896">
        <v>160</v>
      </c>
      <c r="K896">
        <v>2016</v>
      </c>
      <c r="L896" s="2">
        <v>2.8819444444444444E-3</v>
      </c>
      <c r="M896" s="2">
        <v>1.4745370370370372E-2</v>
      </c>
      <c r="N896" s="2">
        <v>3.006944444444444E-2</v>
      </c>
      <c r="O896" s="2">
        <v>6.5532407407407414E-2</v>
      </c>
      <c r="P896" s="2">
        <v>0</v>
      </c>
    </row>
    <row r="897" spans="1:16" x14ac:dyDescent="0.3">
      <c r="A897" s="1">
        <v>45473.732604166667</v>
      </c>
      <c r="B897" s="1">
        <v>45473.772650462961</v>
      </c>
      <c r="C897">
        <v>57.67</v>
      </c>
      <c r="D897" s="2">
        <v>4.0034722222222222E-2</v>
      </c>
      <c r="E897">
        <v>12.41</v>
      </c>
      <c r="F897" s="2">
        <v>3.2754629629629631E-3</v>
      </c>
      <c r="G897">
        <v>12.7</v>
      </c>
      <c r="H897">
        <v>16.36</v>
      </c>
      <c r="I897">
        <v>150</v>
      </c>
      <c r="J897">
        <v>134</v>
      </c>
      <c r="K897">
        <v>961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</row>
    <row r="898" spans="1:16" x14ac:dyDescent="0.3">
      <c r="A898" s="1">
        <v>45474.726284722223</v>
      </c>
      <c r="B898" s="1">
        <v>45474.74255787037</v>
      </c>
      <c r="C898">
        <v>23.23</v>
      </c>
      <c r="D898" s="2">
        <v>1.6122685185185184E-2</v>
      </c>
      <c r="E898">
        <v>5.1079999999999997</v>
      </c>
      <c r="F898" s="2">
        <v>3.1481481481481482E-3</v>
      </c>
      <c r="G898">
        <v>13.2</v>
      </c>
      <c r="H898">
        <v>19.989999999999998</v>
      </c>
      <c r="I898">
        <v>165</v>
      </c>
      <c r="J898">
        <v>146</v>
      </c>
      <c r="K898">
        <v>337</v>
      </c>
      <c r="L898" s="2">
        <v>2.9861111111111113E-3</v>
      </c>
      <c r="M898" s="2">
        <v>1.5671296296296298E-2</v>
      </c>
      <c r="N898" s="2">
        <v>0</v>
      </c>
      <c r="O898" s="2">
        <v>0</v>
      </c>
      <c r="P898" s="2">
        <v>0</v>
      </c>
    </row>
    <row r="899" spans="1:16" x14ac:dyDescent="0.3">
      <c r="A899" s="1">
        <v>45474.74722222222</v>
      </c>
      <c r="B899" s="1">
        <v>45474.779768518521</v>
      </c>
      <c r="C899">
        <v>36.590000000000003</v>
      </c>
      <c r="D899" s="2">
        <v>2.5405092592592594E-2</v>
      </c>
      <c r="E899">
        <v>8.0310000000000006</v>
      </c>
      <c r="F899" s="2">
        <v>3.1597222222222222E-3</v>
      </c>
      <c r="G899">
        <v>13.17</v>
      </c>
      <c r="H899">
        <v>18.100000000000001</v>
      </c>
      <c r="I899">
        <v>171</v>
      </c>
      <c r="J899">
        <v>154</v>
      </c>
      <c r="K899">
        <v>551</v>
      </c>
      <c r="L899" s="2">
        <v>2.8935185185185188E-3</v>
      </c>
      <c r="M899" s="2">
        <v>1.5277777777777777E-2</v>
      </c>
      <c r="N899" s="2">
        <v>0</v>
      </c>
      <c r="O899" s="2">
        <v>0</v>
      </c>
      <c r="P899" s="2">
        <v>0</v>
      </c>
    </row>
    <row r="900" spans="1:16" x14ac:dyDescent="0.3">
      <c r="A900" s="1">
        <v>45476.866099537037</v>
      </c>
      <c r="B900" s="1">
        <v>45476.918078703704</v>
      </c>
      <c r="C900">
        <v>74.63</v>
      </c>
      <c r="D900" s="2">
        <v>5.1828703703703703E-2</v>
      </c>
      <c r="E900">
        <v>15.513999999999999</v>
      </c>
      <c r="F900" s="2">
        <v>3.3333333333333335E-3</v>
      </c>
      <c r="G900">
        <v>12.47</v>
      </c>
      <c r="H900">
        <v>16.59</v>
      </c>
      <c r="I900">
        <v>174</v>
      </c>
      <c r="J900">
        <v>151</v>
      </c>
      <c r="K900">
        <v>1073</v>
      </c>
      <c r="L900" s="2">
        <v>2.9629629629629628E-3</v>
      </c>
      <c r="M900" s="2">
        <v>1.525462962962963E-2</v>
      </c>
      <c r="N900" s="2">
        <v>3.2245370370370369E-2</v>
      </c>
      <c r="O900" s="2">
        <v>0</v>
      </c>
      <c r="P900" s="2">
        <v>0</v>
      </c>
    </row>
    <row r="901" spans="1:16" x14ac:dyDescent="0.3">
      <c r="A901" s="1">
        <v>45478.193576388891</v>
      </c>
      <c r="B901" s="1">
        <v>45478.2965625</v>
      </c>
      <c r="C901">
        <v>143.91999999999999</v>
      </c>
      <c r="D901" s="2">
        <v>9.9930555555555564E-2</v>
      </c>
      <c r="E901">
        <v>30.102</v>
      </c>
      <c r="F901" s="2">
        <v>3.3101851851851851E-3</v>
      </c>
      <c r="G901">
        <v>12.55</v>
      </c>
      <c r="H901">
        <v>14.95</v>
      </c>
      <c r="I901">
        <v>160</v>
      </c>
      <c r="J901">
        <v>143</v>
      </c>
      <c r="K901">
        <v>2061</v>
      </c>
      <c r="L901" s="2">
        <v>2.9166666666666668E-3</v>
      </c>
      <c r="M901" s="2">
        <v>1.5231481481481483E-2</v>
      </c>
      <c r="N901" s="2">
        <v>3.1539351851851853E-2</v>
      </c>
      <c r="O901" s="2">
        <v>6.8182870370370366E-2</v>
      </c>
      <c r="P901" s="2">
        <v>0</v>
      </c>
    </row>
    <row r="902" spans="1:16" x14ac:dyDescent="0.3">
      <c r="A902" s="1">
        <v>45480.755532407406</v>
      </c>
      <c r="B902" s="1">
        <v>45480.778194444443</v>
      </c>
      <c r="C902">
        <v>32.630000000000003</v>
      </c>
      <c r="D902" s="2">
        <v>2.2650462962962966E-2</v>
      </c>
      <c r="E902">
        <v>6.8019999999999996</v>
      </c>
      <c r="F902" s="2">
        <v>3.425925925925926E-3</v>
      </c>
      <c r="G902">
        <v>12.15</v>
      </c>
      <c r="H902">
        <v>14.38</v>
      </c>
      <c r="I902">
        <v>146</v>
      </c>
      <c r="J902">
        <v>124</v>
      </c>
      <c r="K902">
        <v>532</v>
      </c>
      <c r="L902" s="2">
        <v>4.2592592592592595E-3</v>
      </c>
      <c r="M902" s="2">
        <v>2.1296296296296299E-2</v>
      </c>
      <c r="N902" s="2">
        <v>0</v>
      </c>
      <c r="O902" s="2">
        <v>0</v>
      </c>
      <c r="P902" s="2">
        <v>0</v>
      </c>
    </row>
    <row r="903" spans="1:16" x14ac:dyDescent="0.3">
      <c r="A903" s="1">
        <v>45481.725543981483</v>
      </c>
      <c r="B903" s="1">
        <v>45481.74255787037</v>
      </c>
      <c r="C903">
        <v>24.51</v>
      </c>
      <c r="D903" s="2">
        <v>1.7013888888888887E-2</v>
      </c>
      <c r="E903">
        <v>5.5209999999999999</v>
      </c>
      <c r="F903" s="2">
        <v>3.0787037037037037E-3</v>
      </c>
      <c r="G903">
        <v>13.51</v>
      </c>
      <c r="H903">
        <v>20.69</v>
      </c>
      <c r="I903">
        <v>168</v>
      </c>
      <c r="J903">
        <v>153</v>
      </c>
      <c r="K903">
        <v>375</v>
      </c>
      <c r="L903" s="2">
        <v>2.8356481481481479E-3</v>
      </c>
      <c r="M903" s="2">
        <v>1.5150462962962963E-2</v>
      </c>
      <c r="N903" s="2">
        <v>0</v>
      </c>
      <c r="O903" s="2">
        <v>0</v>
      </c>
      <c r="P903" s="2">
        <v>0</v>
      </c>
    </row>
    <row r="904" spans="1:16" x14ac:dyDescent="0.3">
      <c r="A904" s="1">
        <v>45481.745208333334</v>
      </c>
      <c r="B904" s="1">
        <v>45481.779224537036</v>
      </c>
      <c r="C904">
        <v>37.44</v>
      </c>
      <c r="D904" s="2">
        <v>2.5995370370370367E-2</v>
      </c>
      <c r="E904">
        <v>8.0830000000000002</v>
      </c>
      <c r="F904" s="2">
        <v>3.2060185185185191E-3</v>
      </c>
      <c r="G904">
        <v>12.95</v>
      </c>
      <c r="H904">
        <v>16.190000000000001</v>
      </c>
      <c r="I904">
        <v>170</v>
      </c>
      <c r="J904">
        <v>159</v>
      </c>
      <c r="K904">
        <v>583</v>
      </c>
      <c r="L904" s="2">
        <v>2.9398148148148148E-3</v>
      </c>
      <c r="M904" s="2">
        <v>1.5856481481481482E-2</v>
      </c>
      <c r="N904" s="2">
        <v>0</v>
      </c>
      <c r="O904" s="2">
        <v>0</v>
      </c>
      <c r="P904" s="2">
        <v>0</v>
      </c>
    </row>
    <row r="905" spans="1:16" x14ac:dyDescent="0.3">
      <c r="A905" s="1">
        <v>45483.719456018516</v>
      </c>
      <c r="B905" s="1">
        <v>45483.757777777777</v>
      </c>
      <c r="C905">
        <v>52.34</v>
      </c>
      <c r="D905" s="2">
        <v>3.6342592592592593E-2</v>
      </c>
      <c r="E905">
        <v>11.111000000000001</v>
      </c>
      <c r="F905" s="2">
        <v>3.2638888888888891E-3</v>
      </c>
      <c r="G905">
        <v>12.74</v>
      </c>
      <c r="H905">
        <v>13.94</v>
      </c>
      <c r="I905">
        <v>173</v>
      </c>
      <c r="J905">
        <v>157</v>
      </c>
      <c r="K905">
        <v>791</v>
      </c>
      <c r="L905" s="2">
        <v>3.1249999999999997E-3</v>
      </c>
      <c r="M905" s="2">
        <v>1.6030092592592592E-2</v>
      </c>
      <c r="N905" s="2">
        <v>3.2476851851851847E-2</v>
      </c>
      <c r="O905" s="2">
        <v>0</v>
      </c>
      <c r="P905" s="2">
        <v>0</v>
      </c>
    </row>
    <row r="906" spans="1:16" x14ac:dyDescent="0.3">
      <c r="A906" s="1">
        <v>45484.974340277775</v>
      </c>
      <c r="B906" s="1">
        <v>45485.05300925926</v>
      </c>
      <c r="C906">
        <v>110.56</v>
      </c>
      <c r="D906" s="2">
        <v>7.677083333333333E-2</v>
      </c>
      <c r="E906">
        <v>22.082999999999998</v>
      </c>
      <c r="F906" s="2">
        <v>3.472222222222222E-3</v>
      </c>
      <c r="G906">
        <v>11.98</v>
      </c>
      <c r="H906">
        <v>13.57</v>
      </c>
      <c r="I906">
        <v>168</v>
      </c>
      <c r="J906">
        <v>154</v>
      </c>
      <c r="K906">
        <v>1571</v>
      </c>
      <c r="L906" s="2">
        <v>3.2638888888888891E-3</v>
      </c>
      <c r="M906" s="2">
        <v>1.7083333333333336E-2</v>
      </c>
      <c r="N906" s="2">
        <v>3.4386574074074076E-2</v>
      </c>
      <c r="O906" s="2">
        <v>7.3310185185185187E-2</v>
      </c>
      <c r="P906" s="2">
        <v>0</v>
      </c>
    </row>
    <row r="907" spans="1:16" x14ac:dyDescent="0.3">
      <c r="A907" s="1">
        <v>45486.960775462961</v>
      </c>
      <c r="B907" s="1">
        <v>45486.997696759259</v>
      </c>
      <c r="C907">
        <v>52.58</v>
      </c>
      <c r="D907" s="2">
        <v>3.6516203703703703E-2</v>
      </c>
      <c r="E907">
        <v>11.113</v>
      </c>
      <c r="F907" s="2">
        <v>3.2754629629629631E-3</v>
      </c>
      <c r="G907">
        <v>12.68</v>
      </c>
      <c r="H907">
        <v>15.65</v>
      </c>
      <c r="I907">
        <v>159</v>
      </c>
      <c r="J907">
        <v>148</v>
      </c>
      <c r="K907">
        <v>763</v>
      </c>
      <c r="L907" s="2">
        <v>3.0787037037037037E-3</v>
      </c>
      <c r="M907" s="2">
        <v>1.5891203703703703E-2</v>
      </c>
      <c r="N907" s="2">
        <v>3.24537037037037E-2</v>
      </c>
      <c r="O907" s="2">
        <v>0</v>
      </c>
      <c r="P907" s="2">
        <v>0</v>
      </c>
    </row>
    <row r="908" spans="1:16" x14ac:dyDescent="0.3">
      <c r="A908" s="1">
        <v>45487.752708333333</v>
      </c>
      <c r="B908" s="1">
        <v>45487.776423611111</v>
      </c>
      <c r="C908">
        <v>34.159999999999997</v>
      </c>
      <c r="D908" s="2">
        <v>2.3715277777777776E-2</v>
      </c>
      <c r="E908">
        <v>7.258</v>
      </c>
      <c r="F908" s="2">
        <v>3.2638888888888891E-3</v>
      </c>
      <c r="G908">
        <v>12.73</v>
      </c>
      <c r="H908">
        <v>17.329999999999998</v>
      </c>
      <c r="I908">
        <v>144</v>
      </c>
      <c r="J908">
        <v>135</v>
      </c>
      <c r="K908">
        <v>569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</row>
    <row r="909" spans="1:16" x14ac:dyDescent="0.3">
      <c r="A909" s="1">
        <v>45488.722361111111</v>
      </c>
      <c r="B909" s="1">
        <v>45488.777789351851</v>
      </c>
      <c r="C909">
        <v>65.41</v>
      </c>
      <c r="D909" s="2">
        <v>4.5416666666666668E-2</v>
      </c>
      <c r="E909">
        <v>14.503</v>
      </c>
      <c r="F909" s="2">
        <v>3.1249999999999997E-3</v>
      </c>
      <c r="G909">
        <v>13.3</v>
      </c>
      <c r="H909">
        <v>64.66</v>
      </c>
      <c r="I909">
        <v>173</v>
      </c>
      <c r="J909">
        <v>155</v>
      </c>
      <c r="K909">
        <v>987</v>
      </c>
      <c r="L909" s="2">
        <v>2.8472222222222219E-3</v>
      </c>
      <c r="M909" s="2">
        <v>1.4965277777777779E-2</v>
      </c>
      <c r="N909" s="2">
        <v>3.078703703703704E-2</v>
      </c>
      <c r="O909" s="2">
        <v>0</v>
      </c>
      <c r="P909" s="2">
        <v>0</v>
      </c>
    </row>
    <row r="910" spans="1:16" x14ac:dyDescent="0.3">
      <c r="A910" s="1">
        <v>45489.873298611114</v>
      </c>
      <c r="B910" s="1">
        <v>45489.916377314818</v>
      </c>
      <c r="C910">
        <v>62.04</v>
      </c>
      <c r="D910" s="2">
        <v>4.3078703703703702E-2</v>
      </c>
      <c r="E910">
        <v>12.343</v>
      </c>
      <c r="F910" s="2">
        <v>3.483796296296296E-3</v>
      </c>
      <c r="G910">
        <v>11.94</v>
      </c>
      <c r="H910">
        <v>16.23</v>
      </c>
      <c r="I910">
        <v>161</v>
      </c>
      <c r="J910">
        <v>146</v>
      </c>
      <c r="K910">
        <v>870</v>
      </c>
      <c r="L910" s="2">
        <v>3.2638888888888891E-3</v>
      </c>
      <c r="M910" s="2">
        <v>1.7291666666666667E-2</v>
      </c>
      <c r="N910" s="2">
        <v>3.4664351851851849E-2</v>
      </c>
      <c r="O910" s="2">
        <v>0</v>
      </c>
      <c r="P910" s="2">
        <v>0</v>
      </c>
    </row>
    <row r="911" spans="1:16" x14ac:dyDescent="0.3">
      <c r="A911" s="1">
        <v>45490.740162037036</v>
      </c>
      <c r="B911" s="1">
        <v>45490.757523148146</v>
      </c>
      <c r="C911">
        <v>25</v>
      </c>
      <c r="D911" s="2">
        <v>1.7361111111111112E-2</v>
      </c>
      <c r="E911">
        <v>5.3</v>
      </c>
      <c r="F911" s="2">
        <v>3.2986111111111111E-3</v>
      </c>
      <c r="G911">
        <v>12.6</v>
      </c>
      <c r="H911">
        <v>16.86</v>
      </c>
      <c r="I911">
        <v>148</v>
      </c>
      <c r="J911">
        <v>132</v>
      </c>
      <c r="K911">
        <v>416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</row>
    <row r="912" spans="1:16" x14ac:dyDescent="0.3">
      <c r="A912" s="1">
        <v>45492.201168981483</v>
      </c>
      <c r="B912" s="1">
        <v>45492.313738425924</v>
      </c>
      <c r="C912">
        <v>155.75</v>
      </c>
      <c r="D912" s="2">
        <v>0.10814814814814815</v>
      </c>
      <c r="E912">
        <v>32.503999999999998</v>
      </c>
      <c r="F912" s="2">
        <v>3.3217592592592591E-3</v>
      </c>
      <c r="G912">
        <v>12.52</v>
      </c>
      <c r="H912">
        <v>15.22</v>
      </c>
      <c r="I912">
        <v>164</v>
      </c>
      <c r="J912">
        <v>145</v>
      </c>
      <c r="K912">
        <v>2227</v>
      </c>
      <c r="L912" s="2">
        <v>2.8935185185185188E-3</v>
      </c>
      <c r="M912" s="2">
        <v>1.5532407407407406E-2</v>
      </c>
      <c r="N912" s="2">
        <v>3.1782407407407405E-2</v>
      </c>
      <c r="O912" s="2">
        <v>6.8564814814814815E-2</v>
      </c>
      <c r="P912" s="2">
        <v>0</v>
      </c>
    </row>
    <row r="913" spans="1:16" x14ac:dyDescent="0.3">
      <c r="A913" s="1">
        <v>45493.944074074076</v>
      </c>
      <c r="B913" s="1">
        <v>45493.985729166663</v>
      </c>
      <c r="C913">
        <v>59.31</v>
      </c>
      <c r="D913" s="2">
        <v>4.1180555555555554E-2</v>
      </c>
      <c r="E913">
        <v>11.112</v>
      </c>
      <c r="F913" s="2">
        <v>3.7037037037037034E-3</v>
      </c>
      <c r="G913">
        <v>11.24</v>
      </c>
      <c r="H913">
        <v>13.3</v>
      </c>
      <c r="I913">
        <v>155</v>
      </c>
      <c r="J913">
        <v>140</v>
      </c>
      <c r="K913">
        <v>784</v>
      </c>
      <c r="L913" s="2">
        <v>3.5648148148148154E-3</v>
      </c>
      <c r="M913" s="2">
        <v>1.8275462962962962E-2</v>
      </c>
      <c r="N913" s="2">
        <v>3.6990740740740741E-2</v>
      </c>
      <c r="O913" s="2">
        <v>0</v>
      </c>
      <c r="P913" s="2">
        <v>0</v>
      </c>
    </row>
    <row r="914" spans="1:16" x14ac:dyDescent="0.3">
      <c r="A914" s="1">
        <v>45495.722858796296</v>
      </c>
      <c r="B914" s="1">
        <v>45495.778090277781</v>
      </c>
      <c r="C914">
        <v>53.6</v>
      </c>
      <c r="D914" s="2">
        <v>3.7222222222222219E-2</v>
      </c>
      <c r="E914">
        <v>12.401999999999999</v>
      </c>
      <c r="F914" s="2">
        <v>2.9976851851851848E-3</v>
      </c>
      <c r="G914">
        <v>13.88</v>
      </c>
      <c r="H914">
        <v>24.02</v>
      </c>
      <c r="I914">
        <v>177</v>
      </c>
      <c r="J914">
        <v>150</v>
      </c>
      <c r="K914">
        <v>766</v>
      </c>
      <c r="L914" s="2">
        <v>2.4305555555555556E-3</v>
      </c>
      <c r="M914" s="2">
        <v>1.3449074074074073E-2</v>
      </c>
      <c r="N914" s="2">
        <v>2.9270833333333333E-2</v>
      </c>
      <c r="O914" s="2">
        <v>0</v>
      </c>
      <c r="P914" s="2">
        <v>0</v>
      </c>
    </row>
    <row r="915" spans="1:16" x14ac:dyDescent="0.3">
      <c r="A915" s="1">
        <v>45497.722361111111</v>
      </c>
      <c r="B915" s="1">
        <v>45497.76185185185</v>
      </c>
      <c r="C915">
        <v>56.87</v>
      </c>
      <c r="D915" s="2">
        <v>3.9490740740740743E-2</v>
      </c>
      <c r="E915">
        <v>12.56</v>
      </c>
      <c r="F915" s="2">
        <v>2.9629629629629628E-3</v>
      </c>
      <c r="G915">
        <v>14.03</v>
      </c>
      <c r="H915">
        <v>17.16</v>
      </c>
      <c r="I915">
        <v>162</v>
      </c>
      <c r="J915">
        <v>150</v>
      </c>
      <c r="K915">
        <v>947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</row>
    <row r="916" spans="1:16" x14ac:dyDescent="0.3">
      <c r="A916" s="1">
        <v>45498.97828703704</v>
      </c>
      <c r="B916" s="1">
        <v>45499.01090277778</v>
      </c>
      <c r="C916">
        <v>46.43</v>
      </c>
      <c r="D916" s="2">
        <v>3.2233796296296295E-2</v>
      </c>
      <c r="E916">
        <v>9.01</v>
      </c>
      <c r="F916" s="2">
        <v>3.5763888888888894E-3</v>
      </c>
      <c r="G916">
        <v>11.64</v>
      </c>
      <c r="H916">
        <v>13</v>
      </c>
      <c r="I916">
        <v>161</v>
      </c>
      <c r="J916">
        <v>150</v>
      </c>
      <c r="K916">
        <v>666</v>
      </c>
      <c r="L916" s="2">
        <v>3.4375E-3</v>
      </c>
      <c r="M916" s="2">
        <v>1.7604166666666667E-2</v>
      </c>
      <c r="N916" s="2">
        <v>0</v>
      </c>
      <c r="O916" s="2">
        <v>0</v>
      </c>
      <c r="P916" s="2">
        <v>0</v>
      </c>
    </row>
    <row r="917" spans="1:16" x14ac:dyDescent="0.3">
      <c r="A917" s="1">
        <v>45499.703773148147</v>
      </c>
      <c r="B917" s="1">
        <v>45499.747372685182</v>
      </c>
      <c r="C917">
        <v>61.35</v>
      </c>
      <c r="D917" s="2">
        <v>4.2592592592592592E-2</v>
      </c>
      <c r="E917">
        <v>12.503</v>
      </c>
      <c r="F917" s="2">
        <v>3.4027777777777784E-3</v>
      </c>
      <c r="G917">
        <v>12.23</v>
      </c>
      <c r="H917">
        <v>14.01</v>
      </c>
      <c r="I917">
        <v>166</v>
      </c>
      <c r="J917">
        <v>151</v>
      </c>
      <c r="K917">
        <v>896</v>
      </c>
      <c r="L917" s="2">
        <v>3.2407407407407406E-3</v>
      </c>
      <c r="M917" s="2">
        <v>1.6770833333333332E-2</v>
      </c>
      <c r="N917" s="2">
        <v>3.3888888888888885E-2</v>
      </c>
      <c r="O917" s="2">
        <v>0</v>
      </c>
      <c r="P917" s="2">
        <v>0</v>
      </c>
    </row>
    <row r="918" spans="1:16" x14ac:dyDescent="0.3">
      <c r="A918" s="1">
        <v>45500.932928240742</v>
      </c>
      <c r="B918" s="1">
        <v>45500.97855324074</v>
      </c>
      <c r="C918">
        <v>65.400000000000006</v>
      </c>
      <c r="D918" s="2">
        <v>4.5416666666666668E-2</v>
      </c>
      <c r="E918">
        <v>12.209</v>
      </c>
      <c r="F918" s="2">
        <v>3.7152777777777774E-3</v>
      </c>
      <c r="G918">
        <v>11.2</v>
      </c>
      <c r="H918">
        <v>13.91</v>
      </c>
      <c r="I918">
        <v>149</v>
      </c>
      <c r="J918">
        <v>140</v>
      </c>
      <c r="K918">
        <v>871</v>
      </c>
      <c r="L918" s="2">
        <v>3.5185185185185185E-3</v>
      </c>
      <c r="M918" s="2">
        <v>1.8425925925925925E-2</v>
      </c>
      <c r="N918" s="2">
        <v>3.72337962962963E-2</v>
      </c>
      <c r="O918" s="2">
        <v>0</v>
      </c>
      <c r="P918" s="2">
        <v>0</v>
      </c>
    </row>
    <row r="919" spans="1:16" x14ac:dyDescent="0.3">
      <c r="A919" s="1">
        <v>45502.749166666668</v>
      </c>
      <c r="B919" s="1">
        <v>45502.77851851852</v>
      </c>
      <c r="C919">
        <v>34.840000000000003</v>
      </c>
      <c r="D919" s="2">
        <v>2.4189814814814817E-2</v>
      </c>
      <c r="E919">
        <v>0.81799999999999995</v>
      </c>
      <c r="F919" s="2">
        <v>3.2175925925925926E-3</v>
      </c>
      <c r="G919">
        <v>12.93</v>
      </c>
      <c r="H919">
        <v>23.08</v>
      </c>
      <c r="I919">
        <v>172</v>
      </c>
      <c r="J919">
        <v>143</v>
      </c>
      <c r="K919">
        <v>580</v>
      </c>
      <c r="L919" s="2">
        <v>3.2175925925925926E-3</v>
      </c>
      <c r="M919" s="2">
        <v>1.6099537037037037E-2</v>
      </c>
      <c r="N919" s="2">
        <v>0</v>
      </c>
      <c r="O919" s="2">
        <v>0</v>
      </c>
      <c r="P919" s="2">
        <v>0</v>
      </c>
    </row>
    <row r="920" spans="1:16" x14ac:dyDescent="0.3">
      <c r="A920" s="1">
        <v>45502.784594907411</v>
      </c>
      <c r="B920" s="1">
        <v>45502.823541666665</v>
      </c>
      <c r="C920">
        <v>49.45</v>
      </c>
      <c r="D920" s="2">
        <v>3.4340277777777782E-2</v>
      </c>
      <c r="E920">
        <v>10.031000000000001</v>
      </c>
      <c r="F920" s="2">
        <v>3.2638888888888891E-3</v>
      </c>
      <c r="G920">
        <v>12.75</v>
      </c>
      <c r="H920">
        <v>18.98</v>
      </c>
      <c r="I920">
        <v>162</v>
      </c>
      <c r="J920">
        <v>150</v>
      </c>
      <c r="K920">
        <v>824</v>
      </c>
      <c r="L920" s="2">
        <v>3.2175925925925926E-3</v>
      </c>
      <c r="M920" s="2">
        <v>1.6759259259259258E-2</v>
      </c>
      <c r="N920" s="2">
        <v>3.4224537037037032E-2</v>
      </c>
      <c r="O920" s="2">
        <v>0</v>
      </c>
      <c r="P920" s="2">
        <v>0</v>
      </c>
    </row>
    <row r="921" spans="1:16" x14ac:dyDescent="0.3">
      <c r="A921" s="1">
        <v>45503.769120370373</v>
      </c>
      <c r="B921" s="1">
        <v>45503.796284722222</v>
      </c>
      <c r="C921">
        <v>39.119999999999997</v>
      </c>
      <c r="D921" s="2">
        <v>2.7164351851851853E-2</v>
      </c>
      <c r="E921">
        <v>7.5</v>
      </c>
      <c r="F921" s="2">
        <v>3.5185185185185185E-3</v>
      </c>
      <c r="G921">
        <v>11.81</v>
      </c>
      <c r="H921">
        <v>15.69</v>
      </c>
      <c r="I921">
        <v>142</v>
      </c>
      <c r="J921">
        <v>131</v>
      </c>
      <c r="K921">
        <v>622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</row>
    <row r="922" spans="1:16" x14ac:dyDescent="0.3">
      <c r="A922" s="1">
        <v>45504.725891203707</v>
      </c>
      <c r="B922" s="1">
        <v>45504.759247685186</v>
      </c>
      <c r="C922">
        <v>48.03</v>
      </c>
      <c r="D922" s="2">
        <v>3.3344907407407406E-2</v>
      </c>
      <c r="E922">
        <v>9.8260000000000005</v>
      </c>
      <c r="F922" s="2">
        <v>3.2060185185185191E-3</v>
      </c>
      <c r="G922">
        <v>12.99</v>
      </c>
      <c r="H922">
        <v>17.97</v>
      </c>
      <c r="I922">
        <v>158</v>
      </c>
      <c r="J922">
        <v>139</v>
      </c>
      <c r="K922">
        <v>800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</row>
    <row r="923" spans="1:16" x14ac:dyDescent="0.3">
      <c r="A923" s="1">
        <v>45506.191770833335</v>
      </c>
      <c r="B923" s="1">
        <v>45506.309178240743</v>
      </c>
      <c r="C923">
        <v>162.6</v>
      </c>
      <c r="D923" s="2">
        <v>0.11291666666666667</v>
      </c>
      <c r="E923">
        <v>33.332000000000001</v>
      </c>
      <c r="F923" s="2">
        <v>3.37962962962963E-3</v>
      </c>
      <c r="G923">
        <v>12.3</v>
      </c>
      <c r="H923">
        <v>16.29</v>
      </c>
      <c r="I923">
        <v>168</v>
      </c>
      <c r="J923">
        <v>147</v>
      </c>
      <c r="K923">
        <v>2350</v>
      </c>
      <c r="L923" s="2">
        <v>2.9513888888888888E-3</v>
      </c>
      <c r="M923" s="2">
        <v>1.5243055555555557E-2</v>
      </c>
      <c r="N923" s="2">
        <v>3.1932870370370368E-2</v>
      </c>
      <c r="O923" s="2">
        <v>6.9837962962962963E-2</v>
      </c>
      <c r="P923" s="2">
        <v>0</v>
      </c>
    </row>
    <row r="924" spans="1:16" x14ac:dyDescent="0.3">
      <c r="A924" s="1">
        <v>45507.945173611108</v>
      </c>
      <c r="B924" s="1">
        <v>45507.985763888886</v>
      </c>
      <c r="C924">
        <v>55.72</v>
      </c>
      <c r="D924" s="2">
        <v>3.8692129629629632E-2</v>
      </c>
      <c r="E924">
        <v>11.257999999999999</v>
      </c>
      <c r="F924" s="2">
        <v>3.425925925925926E-3</v>
      </c>
      <c r="G924">
        <v>12.12</v>
      </c>
      <c r="H924">
        <v>14.31</v>
      </c>
      <c r="I924">
        <v>155</v>
      </c>
      <c r="J924">
        <v>143</v>
      </c>
      <c r="K924">
        <v>777</v>
      </c>
      <c r="L924" s="2">
        <v>3.1249999999999997E-3</v>
      </c>
      <c r="M924" s="2">
        <v>1.6400462962962964E-2</v>
      </c>
      <c r="N924" s="2">
        <v>3.3969907407407407E-2</v>
      </c>
      <c r="O924" s="2">
        <v>0</v>
      </c>
      <c r="P924" s="2">
        <v>0</v>
      </c>
    </row>
    <row r="925" spans="1:16" x14ac:dyDescent="0.3">
      <c r="A925" s="1">
        <v>45508.75886574074</v>
      </c>
      <c r="B925" s="1">
        <v>45508.780405092592</v>
      </c>
      <c r="C925">
        <v>31.02</v>
      </c>
      <c r="D925" s="2">
        <v>2.1527777777777781E-2</v>
      </c>
      <c r="E925">
        <v>6.61</v>
      </c>
      <c r="F925" s="2">
        <v>3.414351851851852E-3</v>
      </c>
      <c r="G925">
        <v>12.19</v>
      </c>
      <c r="H925">
        <v>14.88</v>
      </c>
      <c r="I925">
        <v>147</v>
      </c>
      <c r="J925">
        <v>123</v>
      </c>
      <c r="K925">
        <v>508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</row>
    <row r="926" spans="1:16" x14ac:dyDescent="0.3">
      <c r="A926" s="1">
        <v>45509.728472222225</v>
      </c>
      <c r="B926" s="1">
        <v>45509.752557870372</v>
      </c>
      <c r="C926">
        <v>34.69</v>
      </c>
      <c r="D926" s="2">
        <v>2.4085648148148148E-2</v>
      </c>
      <c r="E926">
        <v>7.3369999999999997</v>
      </c>
      <c r="F926" s="2">
        <v>3.2754629629629631E-3</v>
      </c>
      <c r="G926">
        <v>12.69</v>
      </c>
      <c r="H926">
        <v>14.11</v>
      </c>
      <c r="I926">
        <v>163</v>
      </c>
      <c r="J926">
        <v>150</v>
      </c>
      <c r="K926">
        <v>512</v>
      </c>
      <c r="L926" s="2">
        <v>3.1365740740740742E-3</v>
      </c>
      <c r="M926" s="2">
        <v>1.6064814814814813E-2</v>
      </c>
      <c r="N926" s="2">
        <v>0</v>
      </c>
      <c r="O926" s="2">
        <v>0</v>
      </c>
      <c r="P926" s="2">
        <v>0</v>
      </c>
    </row>
    <row r="927" spans="1:16" x14ac:dyDescent="0.3">
      <c r="A927" s="1">
        <v>45509.822743055556</v>
      </c>
      <c r="B927" s="1">
        <v>45509.842442129629</v>
      </c>
      <c r="C927">
        <v>28.38</v>
      </c>
      <c r="D927" s="2">
        <v>1.9699074074074074E-2</v>
      </c>
      <c r="E927">
        <v>5.2539999999999996</v>
      </c>
      <c r="F927" s="2">
        <v>3.7500000000000003E-3</v>
      </c>
      <c r="G927">
        <v>11.11</v>
      </c>
      <c r="H927">
        <v>12.16</v>
      </c>
      <c r="I927">
        <v>156</v>
      </c>
      <c r="J927">
        <v>142</v>
      </c>
      <c r="K927">
        <v>396</v>
      </c>
      <c r="L927" s="2">
        <v>3.5763888888888894E-3</v>
      </c>
      <c r="M927" s="2">
        <v>1.877314814814815E-2</v>
      </c>
      <c r="N927" s="2">
        <v>0</v>
      </c>
      <c r="O927" s="2">
        <v>0</v>
      </c>
      <c r="P927" s="2">
        <v>0</v>
      </c>
    </row>
    <row r="928" spans="1:16" x14ac:dyDescent="0.3">
      <c r="A928" s="1">
        <v>45511.700925925928</v>
      </c>
      <c r="B928" s="1">
        <v>45511.737210648149</v>
      </c>
      <c r="C928">
        <v>52.25</v>
      </c>
      <c r="D928" s="2">
        <v>3.6284722222222225E-2</v>
      </c>
      <c r="E928">
        <v>10.836</v>
      </c>
      <c r="F928" s="2">
        <v>2.9976851851851848E-3</v>
      </c>
      <c r="G928">
        <v>13.89</v>
      </c>
      <c r="H928">
        <v>19.010000000000002</v>
      </c>
      <c r="I928">
        <v>163</v>
      </c>
      <c r="J928">
        <v>147</v>
      </c>
      <c r="K928">
        <v>870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</row>
    <row r="929" spans="1:16" x14ac:dyDescent="0.3">
      <c r="A929" s="1">
        <v>45513.193958333337</v>
      </c>
      <c r="B929" s="1">
        <v>45513.301261574074</v>
      </c>
      <c r="C929">
        <v>150.36000000000001</v>
      </c>
      <c r="D929" s="2">
        <v>0.10440972222222222</v>
      </c>
      <c r="E929">
        <v>30.603999999999999</v>
      </c>
      <c r="F929" s="2">
        <v>3.4027777777777784E-3</v>
      </c>
      <c r="G929">
        <v>12.21</v>
      </c>
      <c r="H929">
        <v>15.05</v>
      </c>
      <c r="I929">
        <v>175</v>
      </c>
      <c r="J929">
        <v>147</v>
      </c>
      <c r="K929">
        <v>2145</v>
      </c>
      <c r="L929" s="2">
        <v>3.1134259259259257E-3</v>
      </c>
      <c r="M929" s="2">
        <v>1.6354166666666666E-2</v>
      </c>
      <c r="N929" s="2">
        <v>3.3773148148148149E-2</v>
      </c>
      <c r="O929" s="2">
        <v>7.1597222222222215E-2</v>
      </c>
      <c r="P929" s="2">
        <v>0</v>
      </c>
    </row>
    <row r="930" spans="1:16" x14ac:dyDescent="0.3">
      <c r="A930" s="1">
        <v>45514.945381944446</v>
      </c>
      <c r="B930" s="1">
        <v>45514.990185185183</v>
      </c>
      <c r="C930">
        <v>64.53</v>
      </c>
      <c r="D930" s="2">
        <v>4.4803240740740741E-2</v>
      </c>
      <c r="E930">
        <v>12.212999999999999</v>
      </c>
      <c r="F930" s="2">
        <v>3.6574074074074074E-3</v>
      </c>
      <c r="G930">
        <v>11.36</v>
      </c>
      <c r="H930">
        <v>13</v>
      </c>
      <c r="I930">
        <v>151</v>
      </c>
      <c r="J930">
        <v>142</v>
      </c>
      <c r="K930">
        <v>877</v>
      </c>
      <c r="L930" s="2">
        <v>3.4953703703703705E-3</v>
      </c>
      <c r="M930" s="2">
        <v>1.8020833333333333E-2</v>
      </c>
      <c r="N930" s="2">
        <v>3.6527777777777777E-2</v>
      </c>
      <c r="O930" s="2">
        <v>0</v>
      </c>
      <c r="P930" s="2">
        <v>0</v>
      </c>
    </row>
    <row r="931" spans="1:16" x14ac:dyDescent="0.3">
      <c r="A931" s="1">
        <v>45518.774652777778</v>
      </c>
      <c r="B931" s="1">
        <v>45518.824293981481</v>
      </c>
      <c r="C931">
        <v>69.12</v>
      </c>
      <c r="D931" s="2">
        <v>4.7997685185185185E-2</v>
      </c>
      <c r="E931">
        <v>15.106</v>
      </c>
      <c r="F931" s="2">
        <v>3.1712962962962958E-3</v>
      </c>
      <c r="G931">
        <v>13.11</v>
      </c>
      <c r="H931">
        <v>14.95</v>
      </c>
      <c r="I931">
        <v>173</v>
      </c>
      <c r="J931">
        <v>158</v>
      </c>
      <c r="K931">
        <v>1059</v>
      </c>
      <c r="L931" s="2">
        <v>2.9166666666666668E-3</v>
      </c>
      <c r="M931" s="2">
        <v>1.5358796296296296E-2</v>
      </c>
      <c r="N931" s="2">
        <v>3.125E-2</v>
      </c>
      <c r="O931" s="2">
        <v>0</v>
      </c>
      <c r="P931" s="2">
        <v>0</v>
      </c>
    </row>
    <row r="932" spans="1:16" x14ac:dyDescent="0.3">
      <c r="A932" s="1">
        <v>45520.188148148147</v>
      </c>
      <c r="B932" s="1">
        <v>45520.302465277775</v>
      </c>
      <c r="C932">
        <v>150.99</v>
      </c>
      <c r="D932" s="2">
        <v>0.10484953703703703</v>
      </c>
      <c r="E932">
        <v>30.305</v>
      </c>
      <c r="F932" s="2">
        <v>3.4490740740740745E-3</v>
      </c>
      <c r="G932">
        <v>12.04</v>
      </c>
      <c r="H932">
        <v>14.24</v>
      </c>
      <c r="I932">
        <v>166</v>
      </c>
      <c r="J932">
        <v>144</v>
      </c>
      <c r="K932">
        <v>2080</v>
      </c>
      <c r="L932" s="2">
        <v>3.0902777777777782E-3</v>
      </c>
      <c r="M932" s="2">
        <v>1.6562500000000001E-2</v>
      </c>
      <c r="N932" s="2">
        <v>3.4074074074074076E-2</v>
      </c>
      <c r="O932" s="2">
        <v>7.2199074074074068E-2</v>
      </c>
      <c r="P932" s="2">
        <v>0</v>
      </c>
    </row>
    <row r="933" spans="1:16" x14ac:dyDescent="0.3">
      <c r="A933" s="1">
        <v>45521.960717592592</v>
      </c>
      <c r="B933" s="1">
        <v>45521.999074074076</v>
      </c>
      <c r="C933">
        <v>51.7</v>
      </c>
      <c r="D933" s="2">
        <v>3.5902777777777777E-2</v>
      </c>
      <c r="E933">
        <v>10.353</v>
      </c>
      <c r="F933" s="2">
        <v>3.4606481481481485E-3</v>
      </c>
      <c r="G933">
        <v>12.01</v>
      </c>
      <c r="H933">
        <v>15.89</v>
      </c>
      <c r="I933">
        <v>164</v>
      </c>
      <c r="J933">
        <v>145</v>
      </c>
      <c r="K933">
        <v>726</v>
      </c>
      <c r="L933" s="2">
        <v>3.1944444444444442E-3</v>
      </c>
      <c r="M933" s="2">
        <v>1.6307870370370372E-2</v>
      </c>
      <c r="N933" s="2">
        <v>3.4467592592592591E-2</v>
      </c>
      <c r="O933" s="2">
        <v>0</v>
      </c>
      <c r="P933" s="2">
        <v>0</v>
      </c>
    </row>
    <row r="934" spans="1:16" x14ac:dyDescent="0.3">
      <c r="A934" s="1">
        <v>45523.718599537038</v>
      </c>
      <c r="B934" s="1">
        <v>45523.780972222223</v>
      </c>
      <c r="C934">
        <v>74.19</v>
      </c>
      <c r="D934" s="2">
        <v>5.151620370370371E-2</v>
      </c>
      <c r="E934">
        <v>16.103999999999999</v>
      </c>
      <c r="F934" s="2">
        <v>3.1944444444444442E-3</v>
      </c>
      <c r="G934">
        <v>13.02</v>
      </c>
      <c r="H934">
        <v>19.89</v>
      </c>
      <c r="I934">
        <v>175</v>
      </c>
      <c r="J934">
        <v>158</v>
      </c>
      <c r="K934">
        <v>1117</v>
      </c>
      <c r="L934" s="2">
        <v>2.7314814814814819E-3</v>
      </c>
      <c r="M934" s="2">
        <v>1.4675925925925926E-2</v>
      </c>
      <c r="N934" s="2">
        <v>3.0532407407407411E-2</v>
      </c>
      <c r="O934" s="2">
        <v>0</v>
      </c>
      <c r="P934" s="2">
        <v>0</v>
      </c>
    </row>
    <row r="935" spans="1:16" x14ac:dyDescent="0.3">
      <c r="A935" s="1">
        <v>45525.952523148146</v>
      </c>
      <c r="B935" s="1">
        <v>45525.998680555553</v>
      </c>
      <c r="C935">
        <v>66.48</v>
      </c>
      <c r="D935" s="2">
        <v>4.6157407407407404E-2</v>
      </c>
      <c r="E935">
        <v>13.353</v>
      </c>
      <c r="F935" s="2">
        <v>3.4490740740740745E-3</v>
      </c>
      <c r="G935">
        <v>12.05</v>
      </c>
      <c r="H935">
        <v>13.6</v>
      </c>
      <c r="I935">
        <v>161</v>
      </c>
      <c r="J935">
        <v>151</v>
      </c>
      <c r="K935">
        <v>959</v>
      </c>
      <c r="L935" s="2">
        <v>3.3217592592592591E-3</v>
      </c>
      <c r="M935" s="2">
        <v>1.7025462962962961E-2</v>
      </c>
      <c r="N935" s="2">
        <v>3.4490740740740738E-2</v>
      </c>
      <c r="O935" s="2">
        <v>0</v>
      </c>
      <c r="P935" s="2">
        <v>0</v>
      </c>
    </row>
    <row r="936" spans="1:16" x14ac:dyDescent="0.3">
      <c r="A936" s="1">
        <v>45526.864317129628</v>
      </c>
      <c r="B936" s="1">
        <v>45526.872789351852</v>
      </c>
      <c r="C936">
        <v>12.21</v>
      </c>
      <c r="D936" s="2">
        <v>8.4722222222222213E-3</v>
      </c>
      <c r="E936">
        <v>2.2559999999999998</v>
      </c>
      <c r="F936" s="2">
        <v>3.7500000000000003E-3</v>
      </c>
      <c r="G936">
        <v>11.09</v>
      </c>
      <c r="H936">
        <v>12.87</v>
      </c>
      <c r="I936">
        <v>146</v>
      </c>
      <c r="J936">
        <v>132</v>
      </c>
      <c r="K936">
        <v>158</v>
      </c>
      <c r="L936" s="2">
        <v>3.6689814814814814E-3</v>
      </c>
      <c r="M936" s="2">
        <v>0</v>
      </c>
      <c r="N936" s="2">
        <v>0</v>
      </c>
      <c r="O936" s="2">
        <v>0</v>
      </c>
      <c r="P936" s="2">
        <v>0</v>
      </c>
    </row>
    <row r="937" spans="1:16" x14ac:dyDescent="0.3">
      <c r="A937" s="1">
        <v>45527.220509259256</v>
      </c>
      <c r="B937" s="1">
        <v>45527.32916666667</v>
      </c>
      <c r="C937">
        <v>137.81</v>
      </c>
      <c r="D937" s="2">
        <v>9.5694444444444457E-2</v>
      </c>
      <c r="E937">
        <v>28.201000000000001</v>
      </c>
      <c r="F937" s="2">
        <v>3.3912037037037036E-3</v>
      </c>
      <c r="G937">
        <v>12.28</v>
      </c>
      <c r="H937">
        <v>14.38</v>
      </c>
      <c r="I937">
        <v>168</v>
      </c>
      <c r="J937">
        <v>153</v>
      </c>
      <c r="K937">
        <v>1954</v>
      </c>
      <c r="L937" s="2">
        <v>3.0902777777777782E-3</v>
      </c>
      <c r="M937" s="2">
        <v>1.6400462962962964E-2</v>
      </c>
      <c r="N937" s="2">
        <v>3.30787037037037E-2</v>
      </c>
      <c r="O937" s="2">
        <v>7.1273148148148155E-2</v>
      </c>
      <c r="P937" s="2">
        <v>0</v>
      </c>
    </row>
    <row r="938" spans="1:16" x14ac:dyDescent="0.3">
      <c r="A938" s="1">
        <v>45529.875775462962</v>
      </c>
      <c r="B938" s="1">
        <v>45529.927662037036</v>
      </c>
      <c r="C938">
        <v>73.45</v>
      </c>
      <c r="D938" s="2">
        <v>5.1006944444444445E-2</v>
      </c>
      <c r="E938">
        <v>15.250999999999999</v>
      </c>
      <c r="F938" s="2">
        <v>3.3333333333333335E-3</v>
      </c>
      <c r="G938">
        <v>12.46</v>
      </c>
      <c r="H938">
        <v>15.52</v>
      </c>
      <c r="I938">
        <v>170</v>
      </c>
      <c r="J938">
        <v>156</v>
      </c>
      <c r="K938">
        <v>1074</v>
      </c>
      <c r="L938" s="2">
        <v>3.0555555555555557E-3</v>
      </c>
      <c r="M938" s="2">
        <v>1.5949074074074074E-2</v>
      </c>
      <c r="N938" s="2">
        <v>3.2847222222222222E-2</v>
      </c>
      <c r="O938" s="2">
        <v>0</v>
      </c>
      <c r="P938" s="2">
        <v>0</v>
      </c>
    </row>
    <row r="939" spans="1:16" x14ac:dyDescent="0.3">
      <c r="A939" s="1">
        <v>45531.897974537038</v>
      </c>
      <c r="B939" s="1">
        <v>45531.940358796295</v>
      </c>
      <c r="C939">
        <v>61.04</v>
      </c>
      <c r="D939" s="2">
        <v>4.238425925925926E-2</v>
      </c>
      <c r="E939">
        <v>12.505000000000001</v>
      </c>
      <c r="F939" s="2">
        <v>3.37962962962963E-3</v>
      </c>
      <c r="G939">
        <v>12.29</v>
      </c>
      <c r="H939">
        <v>17.100000000000001</v>
      </c>
      <c r="I939">
        <v>165</v>
      </c>
      <c r="J939">
        <v>150</v>
      </c>
      <c r="K939">
        <v>883</v>
      </c>
      <c r="L939" s="2">
        <v>3.1134259259259257E-3</v>
      </c>
      <c r="M939" s="2">
        <v>1.6238425925925924E-2</v>
      </c>
      <c r="N939" s="2">
        <v>3.3553240740740745E-2</v>
      </c>
      <c r="O939" s="2">
        <v>0</v>
      </c>
      <c r="P939" s="2">
        <v>0</v>
      </c>
    </row>
    <row r="940" spans="1:16" x14ac:dyDescent="0.3">
      <c r="A940" s="1">
        <v>45532.843958333331</v>
      </c>
      <c r="B940" s="1">
        <v>45532.854432870372</v>
      </c>
      <c r="C940">
        <v>15.1</v>
      </c>
      <c r="D940" s="2">
        <v>1.0474537037037037E-2</v>
      </c>
      <c r="E940">
        <v>2.6030000000000002</v>
      </c>
      <c r="F940" s="2">
        <v>4.0277777777777777E-3</v>
      </c>
      <c r="G940">
        <v>10.34</v>
      </c>
      <c r="H940">
        <v>12.6</v>
      </c>
      <c r="I940">
        <v>140</v>
      </c>
      <c r="J940">
        <v>128</v>
      </c>
      <c r="K940">
        <v>188</v>
      </c>
      <c r="L940" s="2">
        <v>3.8657407407407408E-3</v>
      </c>
      <c r="M940" s="2">
        <v>0</v>
      </c>
      <c r="N940" s="2">
        <v>0</v>
      </c>
      <c r="O940" s="2">
        <v>0</v>
      </c>
      <c r="P940" s="2">
        <v>0</v>
      </c>
    </row>
    <row r="941" spans="1:16" x14ac:dyDescent="0.3">
      <c r="A941" s="1">
        <v>45532.856990740744</v>
      </c>
      <c r="B941" s="1">
        <v>45532.911736111113</v>
      </c>
      <c r="C941">
        <v>54.45</v>
      </c>
      <c r="D941" s="2">
        <v>3.7800925925925925E-2</v>
      </c>
      <c r="E941">
        <v>10.503</v>
      </c>
      <c r="F941" s="2">
        <v>3.5995370370370369E-3</v>
      </c>
      <c r="G941">
        <v>11.57</v>
      </c>
      <c r="H941">
        <v>13.13</v>
      </c>
      <c r="I941">
        <v>154</v>
      </c>
      <c r="J941">
        <v>137</v>
      </c>
      <c r="K941">
        <v>725</v>
      </c>
      <c r="L941" s="2">
        <v>3.4606481481481485E-3</v>
      </c>
      <c r="M941" s="2">
        <v>1.7870370370370373E-2</v>
      </c>
      <c r="N941" s="2">
        <v>3.605324074074074E-2</v>
      </c>
      <c r="O941" s="2">
        <v>0</v>
      </c>
      <c r="P941" s="2">
        <v>0</v>
      </c>
    </row>
    <row r="942" spans="1:16" x14ac:dyDescent="0.3">
      <c r="A942" s="1">
        <v>45534.21607638889</v>
      </c>
      <c r="B942" s="1">
        <v>45534.314456018517</v>
      </c>
      <c r="C942">
        <v>126.94</v>
      </c>
      <c r="D942" s="2">
        <v>8.8148148148148142E-2</v>
      </c>
      <c r="E942">
        <v>25.506</v>
      </c>
      <c r="F942" s="2">
        <v>3.4490740740740745E-3</v>
      </c>
      <c r="G942">
        <v>12.06</v>
      </c>
      <c r="H942">
        <v>14.48</v>
      </c>
      <c r="I942">
        <v>177</v>
      </c>
      <c r="J942">
        <v>145</v>
      </c>
      <c r="K942">
        <v>1733</v>
      </c>
      <c r="L942" s="2">
        <v>3.0092592592592588E-3</v>
      </c>
      <c r="M942" s="2">
        <v>1.545138888888889E-2</v>
      </c>
      <c r="N942" s="2">
        <v>3.1585648148148147E-2</v>
      </c>
      <c r="O942" s="2">
        <v>7.273148148148148E-2</v>
      </c>
      <c r="P942" s="2">
        <v>0</v>
      </c>
    </row>
    <row r="943" spans="1:16" x14ac:dyDescent="0.3">
      <c r="A943" s="1">
        <v>45535.943124999998</v>
      </c>
      <c r="B943" s="1">
        <v>45535.982905092591</v>
      </c>
      <c r="C943">
        <v>57.29</v>
      </c>
      <c r="D943" s="2">
        <v>3.9780092592592589E-2</v>
      </c>
      <c r="E943">
        <v>11.114000000000001</v>
      </c>
      <c r="F943" s="2">
        <v>3.5763888888888894E-3</v>
      </c>
      <c r="G943">
        <v>11.64</v>
      </c>
      <c r="H943">
        <v>15.85</v>
      </c>
      <c r="I943">
        <v>157</v>
      </c>
      <c r="J943">
        <v>141</v>
      </c>
      <c r="K943">
        <v>774</v>
      </c>
      <c r="L943" s="2">
        <v>3.2291666666666666E-3</v>
      </c>
      <c r="M943" s="2">
        <v>1.7187499999999998E-2</v>
      </c>
      <c r="N943" s="2">
        <v>3.5509259259259261E-2</v>
      </c>
      <c r="O943" s="2">
        <v>0</v>
      </c>
      <c r="P943" s="2">
        <v>0</v>
      </c>
    </row>
    <row r="944" spans="1:16" x14ac:dyDescent="0.3">
      <c r="A944" s="1">
        <v>45538.83315972222</v>
      </c>
      <c r="B944" s="1">
        <v>45538.843784722223</v>
      </c>
      <c r="C944">
        <v>15.31</v>
      </c>
      <c r="D944" s="2">
        <v>1.0625000000000001E-2</v>
      </c>
      <c r="E944">
        <v>2.601</v>
      </c>
      <c r="F944" s="2">
        <v>4.0856481481481481E-3</v>
      </c>
      <c r="G944">
        <v>10.199999999999999</v>
      </c>
      <c r="H944">
        <v>12.73</v>
      </c>
      <c r="I944">
        <v>141</v>
      </c>
      <c r="J944">
        <v>125</v>
      </c>
      <c r="K944">
        <v>183</v>
      </c>
      <c r="L944" s="2">
        <v>4.0509259259259257E-3</v>
      </c>
      <c r="M944" s="2">
        <v>0</v>
      </c>
      <c r="N944" s="2">
        <v>0</v>
      </c>
      <c r="O944" s="2">
        <v>0</v>
      </c>
      <c r="P944" s="2">
        <v>0</v>
      </c>
    </row>
    <row r="945" spans="1:16" x14ac:dyDescent="0.3">
      <c r="A945" s="1">
        <v>45538.845821759256</v>
      </c>
      <c r="B945" s="1">
        <v>45538.876469907409</v>
      </c>
      <c r="C945">
        <v>44.15</v>
      </c>
      <c r="D945" s="2">
        <v>3.0648148148148147E-2</v>
      </c>
      <c r="E945">
        <v>10.097</v>
      </c>
      <c r="F945" s="2">
        <v>3.0324074074074073E-3</v>
      </c>
      <c r="G945">
        <v>13.72</v>
      </c>
      <c r="H945">
        <v>16.489999999999998</v>
      </c>
      <c r="I945">
        <v>172</v>
      </c>
      <c r="J945">
        <v>159</v>
      </c>
      <c r="K945">
        <v>696</v>
      </c>
      <c r="L945" s="2">
        <v>2.7546296296296294E-3</v>
      </c>
      <c r="M945" s="2">
        <v>1.4826388888888889E-2</v>
      </c>
      <c r="N945" s="2">
        <v>3.0358796296296297E-2</v>
      </c>
      <c r="O945" s="2">
        <v>0</v>
      </c>
      <c r="P945" s="2">
        <v>0</v>
      </c>
    </row>
    <row r="946" spans="1:16" x14ac:dyDescent="0.3">
      <c r="A946" s="1">
        <v>45539.832442129627</v>
      </c>
      <c r="B946" s="1">
        <v>45539.867465277777</v>
      </c>
      <c r="C946">
        <v>49.97</v>
      </c>
      <c r="D946" s="2">
        <v>3.4699074074074077E-2</v>
      </c>
      <c r="E946">
        <v>10.105</v>
      </c>
      <c r="F946" s="2">
        <v>3.425925925925926E-3</v>
      </c>
      <c r="G946">
        <v>12.13</v>
      </c>
      <c r="H946">
        <v>13.07</v>
      </c>
      <c r="I946">
        <v>156</v>
      </c>
      <c r="J946">
        <v>144</v>
      </c>
      <c r="K946">
        <v>701</v>
      </c>
      <c r="L946" s="2">
        <v>3.3101851851851851E-3</v>
      </c>
      <c r="M946" s="2">
        <v>1.7106481481481483E-2</v>
      </c>
      <c r="N946" s="2">
        <v>3.4328703703703702E-2</v>
      </c>
      <c r="O946" s="2">
        <v>0</v>
      </c>
      <c r="P946" s="2">
        <v>0</v>
      </c>
    </row>
    <row r="947" spans="1:16" x14ac:dyDescent="0.3">
      <c r="A947" s="1">
        <v>45541.407870370371</v>
      </c>
      <c r="B947" s="1">
        <v>45541.444155092591</v>
      </c>
      <c r="C947">
        <v>52.26</v>
      </c>
      <c r="D947" s="2">
        <v>3.6284722222222225E-2</v>
      </c>
      <c r="E947">
        <v>11.252000000000001</v>
      </c>
      <c r="F947" s="2">
        <v>3.2175925925925926E-3</v>
      </c>
      <c r="G947">
        <v>12.92</v>
      </c>
      <c r="H947">
        <v>14.14</v>
      </c>
      <c r="I947">
        <v>169</v>
      </c>
      <c r="J947">
        <v>158</v>
      </c>
      <c r="K947">
        <v>796</v>
      </c>
      <c r="L947" s="2">
        <v>3.1134259259259257E-3</v>
      </c>
      <c r="M947" s="2">
        <v>1.5868055555555555E-2</v>
      </c>
      <c r="N947" s="2">
        <v>3.1967592592592589E-2</v>
      </c>
      <c r="O947" s="2">
        <v>0</v>
      </c>
      <c r="P947" s="2">
        <v>0</v>
      </c>
    </row>
    <row r="948" spans="1:16" x14ac:dyDescent="0.3">
      <c r="A948" s="1">
        <v>45542.91547453704</v>
      </c>
      <c r="B948" s="1">
        <v>45542.954375000001</v>
      </c>
      <c r="C948">
        <v>55.35</v>
      </c>
      <c r="D948" s="2">
        <v>3.8437499999999999E-2</v>
      </c>
      <c r="E948">
        <v>11.257999999999999</v>
      </c>
      <c r="F948" s="2">
        <v>3.414351851851852E-3</v>
      </c>
      <c r="G948">
        <v>12.2</v>
      </c>
      <c r="H948">
        <v>14.01</v>
      </c>
      <c r="I948">
        <v>160</v>
      </c>
      <c r="J948">
        <v>147</v>
      </c>
      <c r="K948">
        <v>784</v>
      </c>
      <c r="L948" s="2">
        <v>3.2291666666666666E-3</v>
      </c>
      <c r="M948" s="2">
        <v>1.667824074074074E-2</v>
      </c>
      <c r="N948" s="2">
        <v>3.3981481481481481E-2</v>
      </c>
      <c r="O948" s="2">
        <v>0</v>
      </c>
      <c r="P948" s="2">
        <v>0</v>
      </c>
    </row>
    <row r="949" spans="1:16" x14ac:dyDescent="0.3">
      <c r="A949" s="1">
        <v>45544.935439814813</v>
      </c>
      <c r="B949" s="1">
        <v>45544.974050925928</v>
      </c>
      <c r="C949">
        <v>55.6</v>
      </c>
      <c r="D949" s="2">
        <v>3.861111111111111E-2</v>
      </c>
      <c r="E949">
        <v>12.500999999999999</v>
      </c>
      <c r="F949" s="2">
        <v>3.0787037037037037E-3</v>
      </c>
      <c r="G949">
        <v>13.49</v>
      </c>
      <c r="H949">
        <v>15.96</v>
      </c>
      <c r="I949">
        <v>177</v>
      </c>
      <c r="J949">
        <v>158</v>
      </c>
      <c r="K949">
        <v>854</v>
      </c>
      <c r="L949" s="2">
        <v>2.8935185185185188E-3</v>
      </c>
      <c r="M949" s="2">
        <v>1.5057870370370369E-2</v>
      </c>
      <c r="N949" s="2">
        <v>3.0474537037037036E-2</v>
      </c>
      <c r="O949" s="2">
        <v>0</v>
      </c>
      <c r="P949" s="2">
        <v>0</v>
      </c>
    </row>
    <row r="950" spans="1:16" x14ac:dyDescent="0.3">
      <c r="A950" s="1">
        <v>45545.853530092594</v>
      </c>
      <c r="B950" s="1">
        <v>45545.866469907407</v>
      </c>
      <c r="C950">
        <v>17.64</v>
      </c>
      <c r="D950" s="2">
        <v>1.224537037037037E-2</v>
      </c>
      <c r="E950">
        <v>3.2040000000000002</v>
      </c>
      <c r="F950" s="2">
        <v>3.8194444444444443E-3</v>
      </c>
      <c r="G950">
        <v>10.9</v>
      </c>
      <c r="H950">
        <v>14.98</v>
      </c>
      <c r="I950">
        <v>146</v>
      </c>
      <c r="J950">
        <v>132</v>
      </c>
      <c r="K950">
        <v>224</v>
      </c>
      <c r="L950" s="2">
        <v>3.6689814814814814E-3</v>
      </c>
      <c r="M950" s="2">
        <v>0</v>
      </c>
      <c r="N950" s="2">
        <v>0</v>
      </c>
      <c r="O950" s="2">
        <v>0</v>
      </c>
      <c r="P950" s="2">
        <v>0</v>
      </c>
    </row>
    <row r="951" spans="1:16" x14ac:dyDescent="0.3">
      <c r="A951" s="1">
        <v>45545.868530092594</v>
      </c>
      <c r="B951" s="1">
        <v>45545.904293981483</v>
      </c>
      <c r="C951">
        <v>51.52</v>
      </c>
      <c r="D951" s="2">
        <v>3.5763888888888887E-2</v>
      </c>
      <c r="E951">
        <v>10.101000000000001</v>
      </c>
      <c r="F951" s="2">
        <v>3.530092592592592E-3</v>
      </c>
      <c r="G951">
        <v>11.76</v>
      </c>
      <c r="H951">
        <v>12.53</v>
      </c>
      <c r="I951">
        <v>153</v>
      </c>
      <c r="J951">
        <v>140</v>
      </c>
      <c r="K951">
        <v>698</v>
      </c>
      <c r="L951" s="2">
        <v>3.472222222222222E-3</v>
      </c>
      <c r="M951" s="2">
        <v>1.7557870370370373E-2</v>
      </c>
      <c r="N951" s="2">
        <v>3.5416666666666666E-2</v>
      </c>
      <c r="O951" s="2">
        <v>0</v>
      </c>
      <c r="P951" s="2">
        <v>0</v>
      </c>
    </row>
    <row r="952" spans="1:16" x14ac:dyDescent="0.3">
      <c r="A952" s="1">
        <v>45547.876273148147</v>
      </c>
      <c r="B952" s="1">
        <v>45547.885462962964</v>
      </c>
      <c r="C952">
        <v>13.24</v>
      </c>
      <c r="D952" s="2">
        <v>9.1898148148148139E-3</v>
      </c>
      <c r="E952">
        <v>2.5449999999999999</v>
      </c>
      <c r="F952" s="2">
        <v>3.6111111111111114E-3</v>
      </c>
      <c r="G952">
        <v>11.54</v>
      </c>
      <c r="H952">
        <v>15.99</v>
      </c>
      <c r="I952">
        <v>158</v>
      </c>
      <c r="J952">
        <v>145</v>
      </c>
      <c r="K952">
        <v>184</v>
      </c>
      <c r="L952" s="2">
        <v>3.4606481481481485E-3</v>
      </c>
      <c r="M952" s="2">
        <v>0</v>
      </c>
      <c r="N952" s="2">
        <v>0</v>
      </c>
      <c r="O952" s="2">
        <v>0</v>
      </c>
      <c r="P952" s="2">
        <v>0</v>
      </c>
    </row>
    <row r="953" spans="1:16" x14ac:dyDescent="0.3">
      <c r="A953" s="1">
        <v>45547.898240740738</v>
      </c>
      <c r="B953" s="1">
        <v>45547.911817129629</v>
      </c>
      <c r="C953">
        <v>19.559999999999999</v>
      </c>
      <c r="D953" s="2">
        <v>1.357638888888889E-2</v>
      </c>
      <c r="E953">
        <v>5.0570000000000004</v>
      </c>
      <c r="F953" s="2">
        <v>2.685185185185185E-3</v>
      </c>
      <c r="G953">
        <v>15.51</v>
      </c>
      <c r="H953">
        <v>19.309999999999999</v>
      </c>
      <c r="I953">
        <v>170</v>
      </c>
      <c r="J953">
        <v>156</v>
      </c>
      <c r="K953">
        <v>319</v>
      </c>
      <c r="L953" s="2">
        <v>2.4189814814814816E-3</v>
      </c>
      <c r="M953" s="2">
        <v>1.34375E-2</v>
      </c>
      <c r="N953" s="2">
        <v>0</v>
      </c>
      <c r="O953" s="2">
        <v>0</v>
      </c>
      <c r="P953" s="2">
        <v>0</v>
      </c>
    </row>
    <row r="954" spans="1:16" x14ac:dyDescent="0.3">
      <c r="A954" s="1">
        <v>45551.800775462965</v>
      </c>
      <c r="B954" s="1">
        <v>45551.8122337963</v>
      </c>
      <c r="C954">
        <v>15.58</v>
      </c>
      <c r="D954" s="2">
        <v>1.0810185185185185E-2</v>
      </c>
      <c r="E954">
        <v>2.5779999999999998</v>
      </c>
      <c r="F954" s="2">
        <v>4.1898148148148146E-3</v>
      </c>
      <c r="G954">
        <v>9.93</v>
      </c>
      <c r="H954">
        <v>12.97</v>
      </c>
      <c r="I954">
        <v>131</v>
      </c>
      <c r="J954">
        <v>116</v>
      </c>
      <c r="K954">
        <v>176</v>
      </c>
      <c r="L954" s="2">
        <v>4.0393518518518521E-3</v>
      </c>
      <c r="M954" s="2">
        <v>0</v>
      </c>
      <c r="N954" s="2">
        <v>0</v>
      </c>
      <c r="O954" s="2">
        <v>0</v>
      </c>
      <c r="P954" s="2">
        <v>0</v>
      </c>
    </row>
    <row r="955" spans="1:16" x14ac:dyDescent="0.3">
      <c r="A955" s="1">
        <v>45551.814074074071</v>
      </c>
      <c r="B955" s="1">
        <v>45551.861226851855</v>
      </c>
      <c r="C955">
        <v>67.91</v>
      </c>
      <c r="D955" s="2">
        <v>4.7152777777777773E-2</v>
      </c>
      <c r="E955">
        <v>15.255000000000001</v>
      </c>
      <c r="F955" s="2">
        <v>3.0902777777777782E-3</v>
      </c>
      <c r="G955">
        <v>13.48</v>
      </c>
      <c r="H955">
        <v>16.23</v>
      </c>
      <c r="I955">
        <v>174</v>
      </c>
      <c r="J955">
        <v>152</v>
      </c>
      <c r="K955">
        <v>1015</v>
      </c>
      <c r="L955" s="2">
        <v>2.6967592592592594E-3</v>
      </c>
      <c r="M955" s="2">
        <v>1.4641203703703703E-2</v>
      </c>
      <c r="N955" s="2">
        <v>3.0092592592592591E-2</v>
      </c>
      <c r="O955" s="2">
        <v>0</v>
      </c>
      <c r="P955" s="2">
        <v>0</v>
      </c>
    </row>
    <row r="956" spans="1:16" x14ac:dyDescent="0.3">
      <c r="A956" s="1">
        <v>45552.924467592595</v>
      </c>
      <c r="B956" s="1">
        <v>45552.965231481481</v>
      </c>
      <c r="C956">
        <v>57.86</v>
      </c>
      <c r="D956" s="2">
        <v>4.0173611111111111E-2</v>
      </c>
      <c r="E956">
        <v>12.215</v>
      </c>
      <c r="F956" s="2">
        <v>3.2870370370370367E-3</v>
      </c>
      <c r="G956">
        <v>12.67</v>
      </c>
      <c r="H956">
        <v>14.71</v>
      </c>
      <c r="I956">
        <v>158</v>
      </c>
      <c r="J956">
        <v>146</v>
      </c>
      <c r="K956">
        <v>823</v>
      </c>
      <c r="L956" s="2">
        <v>3.0439814814814821E-3</v>
      </c>
      <c r="M956" s="2">
        <v>1.6145833333333335E-2</v>
      </c>
      <c r="N956" s="2">
        <v>3.260416666666667E-2</v>
      </c>
      <c r="O956" s="2">
        <v>0</v>
      </c>
      <c r="P956" s="2">
        <v>0</v>
      </c>
    </row>
    <row r="957" spans="1:16" x14ac:dyDescent="0.3">
      <c r="A957" s="1">
        <v>45554.791724537034</v>
      </c>
      <c r="B957" s="1">
        <v>45554.805081018516</v>
      </c>
      <c r="C957">
        <v>19.239999999999998</v>
      </c>
      <c r="D957" s="2">
        <v>1.3356481481481483E-2</v>
      </c>
      <c r="E957">
        <v>5.101</v>
      </c>
      <c r="F957" s="2">
        <v>2.615740740740741E-3</v>
      </c>
      <c r="G957">
        <v>15.9</v>
      </c>
      <c r="H957">
        <v>19.41</v>
      </c>
      <c r="I957">
        <v>183</v>
      </c>
      <c r="J957">
        <v>160</v>
      </c>
      <c r="K957">
        <v>314</v>
      </c>
      <c r="L957" s="2">
        <v>2.3958333333333336E-3</v>
      </c>
      <c r="M957" s="2">
        <v>1.3101851851851852E-2</v>
      </c>
      <c r="N957" s="2">
        <v>0</v>
      </c>
      <c r="O957" s="2">
        <v>0</v>
      </c>
      <c r="P957" s="2">
        <v>0</v>
      </c>
    </row>
    <row r="958" spans="1:16" x14ac:dyDescent="0.3">
      <c r="A958" s="1">
        <v>45555.701018518521</v>
      </c>
      <c r="B958" s="1">
        <v>45555.737291666665</v>
      </c>
      <c r="C958">
        <v>52.24</v>
      </c>
      <c r="D958" s="2">
        <v>3.6273148148148145E-2</v>
      </c>
      <c r="E958">
        <v>11.112</v>
      </c>
      <c r="F958" s="2">
        <v>3.2638888888888891E-3</v>
      </c>
      <c r="G958">
        <v>12.76</v>
      </c>
      <c r="H958">
        <v>16.59</v>
      </c>
      <c r="I958">
        <v>161</v>
      </c>
      <c r="J958">
        <v>146</v>
      </c>
      <c r="K958">
        <v>758</v>
      </c>
      <c r="L958" s="2">
        <v>3.0092592592592588E-3</v>
      </c>
      <c r="M958" s="2">
        <v>1.5972222222222224E-2</v>
      </c>
      <c r="N958" s="2">
        <v>3.2488425925925928E-2</v>
      </c>
      <c r="O958" s="2">
        <v>0</v>
      </c>
      <c r="P958" s="2">
        <v>0</v>
      </c>
    </row>
    <row r="959" spans="1:16" x14ac:dyDescent="0.3">
      <c r="A959" s="1">
        <v>45556.913831018515</v>
      </c>
      <c r="B959" s="1">
        <v>45556.957789351851</v>
      </c>
      <c r="C959">
        <v>53.7</v>
      </c>
      <c r="D959" s="2">
        <v>3.7291666666666667E-2</v>
      </c>
      <c r="E959">
        <v>10.254</v>
      </c>
      <c r="F959" s="2">
        <v>3.6342592592592594E-3</v>
      </c>
      <c r="G959">
        <v>11.46</v>
      </c>
      <c r="H959">
        <v>12.83</v>
      </c>
      <c r="I959">
        <v>157</v>
      </c>
      <c r="J959">
        <v>137</v>
      </c>
      <c r="K959">
        <v>700</v>
      </c>
      <c r="L959" s="2">
        <v>3.4490740740740745E-3</v>
      </c>
      <c r="M959" s="2">
        <v>1.8020833333333333E-2</v>
      </c>
      <c r="N959" s="2">
        <v>3.6354166666666667E-2</v>
      </c>
      <c r="O959" s="2">
        <v>0</v>
      </c>
      <c r="P959" s="2">
        <v>0</v>
      </c>
    </row>
    <row r="960" spans="1:16" x14ac:dyDescent="0.3">
      <c r="A960" s="1">
        <v>45558.520914351851</v>
      </c>
      <c r="B960" s="1">
        <v>45558.559074074074</v>
      </c>
      <c r="C960">
        <v>52.39</v>
      </c>
      <c r="D960" s="2">
        <v>3.6377314814814814E-2</v>
      </c>
      <c r="E960">
        <v>12.13</v>
      </c>
      <c r="F960" s="2">
        <v>2.9976851851851848E-3</v>
      </c>
      <c r="G960">
        <v>13.89</v>
      </c>
      <c r="H960">
        <v>17.059999999999999</v>
      </c>
      <c r="I960">
        <v>180</v>
      </c>
      <c r="J960">
        <v>165</v>
      </c>
      <c r="K960">
        <v>850</v>
      </c>
      <c r="L960" s="2">
        <v>2.6967592592592594E-3</v>
      </c>
      <c r="M960" s="2">
        <v>1.4386574074074072E-2</v>
      </c>
      <c r="N960" s="2">
        <v>2.9594907407407407E-2</v>
      </c>
      <c r="O960" s="2">
        <v>0</v>
      </c>
      <c r="P960" s="2">
        <v>0</v>
      </c>
    </row>
    <row r="961" spans="1:16" x14ac:dyDescent="0.3">
      <c r="A961" s="1">
        <v>45559.830775462964</v>
      </c>
      <c r="B961" s="1">
        <v>45559.841122685182</v>
      </c>
      <c r="C961">
        <v>14.14</v>
      </c>
      <c r="D961" s="2">
        <v>9.8148148148148144E-3</v>
      </c>
      <c r="E961">
        <v>2.2229999999999999</v>
      </c>
      <c r="F961" s="2">
        <v>4.409722222222222E-3</v>
      </c>
      <c r="G961">
        <v>9.43</v>
      </c>
      <c r="H961">
        <v>11.49</v>
      </c>
      <c r="I961">
        <v>138</v>
      </c>
      <c r="J961">
        <v>122</v>
      </c>
      <c r="K961">
        <v>160</v>
      </c>
      <c r="L961" s="2">
        <v>4.386574074074074E-3</v>
      </c>
      <c r="M961" s="2">
        <v>0</v>
      </c>
      <c r="N961" s="2">
        <v>0</v>
      </c>
      <c r="O961" s="2">
        <v>0</v>
      </c>
      <c r="P961" s="2">
        <v>0</v>
      </c>
    </row>
    <row r="962" spans="1:16" x14ac:dyDescent="0.3">
      <c r="A962" s="1">
        <v>45559.842395833337</v>
      </c>
      <c r="B962" s="1">
        <v>45559.87767361111</v>
      </c>
      <c r="C962">
        <v>50.81</v>
      </c>
      <c r="D962" s="2">
        <v>3.5277777777777776E-2</v>
      </c>
      <c r="E962">
        <v>10.205</v>
      </c>
      <c r="F962" s="2">
        <v>3.4490740740740745E-3</v>
      </c>
      <c r="G962">
        <v>12.05</v>
      </c>
      <c r="H962">
        <v>14.51</v>
      </c>
      <c r="I962">
        <v>162</v>
      </c>
      <c r="J962">
        <v>143</v>
      </c>
      <c r="K962">
        <v>710</v>
      </c>
      <c r="L962" s="2">
        <v>3.1018518518518522E-3</v>
      </c>
      <c r="M962" s="2">
        <v>1.6840277777777777E-2</v>
      </c>
      <c r="N962" s="2">
        <v>3.4583333333333334E-2</v>
      </c>
      <c r="O962" s="2">
        <v>0</v>
      </c>
      <c r="P962" s="2">
        <v>0</v>
      </c>
    </row>
    <row r="963" spans="1:16" x14ac:dyDescent="0.3">
      <c r="A963" s="1">
        <v>45561.961111111108</v>
      </c>
      <c r="B963" s="1">
        <v>45562.050891203704</v>
      </c>
      <c r="C963">
        <v>121.91</v>
      </c>
      <c r="D963" s="2">
        <v>8.4652777777777785E-2</v>
      </c>
      <c r="E963">
        <v>25.251999999999999</v>
      </c>
      <c r="F963" s="2">
        <v>3.3449074074074071E-3</v>
      </c>
      <c r="G963">
        <v>12.43</v>
      </c>
      <c r="H963">
        <v>16.96</v>
      </c>
      <c r="I963">
        <v>156</v>
      </c>
      <c r="J963">
        <v>142</v>
      </c>
      <c r="K963">
        <v>1648</v>
      </c>
      <c r="L963" s="2">
        <v>3.2060185185185191E-3</v>
      </c>
      <c r="M963" s="2">
        <v>1.6597222222222222E-2</v>
      </c>
      <c r="N963" s="2">
        <v>3.3310185185185186E-2</v>
      </c>
      <c r="O963" s="2">
        <v>7.0729166666666662E-2</v>
      </c>
      <c r="P963" s="2">
        <v>0</v>
      </c>
    </row>
    <row r="964" spans="1:16" x14ac:dyDescent="0.3">
      <c r="A964" s="1">
        <v>45563.913101851853</v>
      </c>
      <c r="B964" s="1">
        <v>45563.972824074073</v>
      </c>
      <c r="C964">
        <v>84.28</v>
      </c>
      <c r="D964" s="2">
        <v>5.8518518518518518E-2</v>
      </c>
      <c r="E964">
        <v>16.254000000000001</v>
      </c>
      <c r="F964" s="2">
        <v>3.5995370370370369E-3</v>
      </c>
      <c r="G964">
        <v>11.57</v>
      </c>
      <c r="H964">
        <v>14.11</v>
      </c>
      <c r="I964">
        <v>155</v>
      </c>
      <c r="J964">
        <v>141</v>
      </c>
      <c r="K964">
        <v>1117</v>
      </c>
      <c r="L964" s="2">
        <v>3.2870370370370367E-3</v>
      </c>
      <c r="M964" s="2">
        <v>1.7384259259259262E-2</v>
      </c>
      <c r="N964" s="2">
        <v>3.5474537037037041E-2</v>
      </c>
      <c r="O964" s="2">
        <v>0</v>
      </c>
      <c r="P964" s="2">
        <v>0</v>
      </c>
    </row>
    <row r="965" spans="1:16" x14ac:dyDescent="0.3">
      <c r="A965" s="1">
        <v>45564.895509259259</v>
      </c>
      <c r="B965" s="1">
        <v>45564.928935185184</v>
      </c>
      <c r="C965">
        <v>48.15</v>
      </c>
      <c r="D965" s="2">
        <v>3.3425925925925921E-2</v>
      </c>
      <c r="E965">
        <v>10.257999999999999</v>
      </c>
      <c r="F965" s="2">
        <v>3.2523148148148151E-3</v>
      </c>
      <c r="G965">
        <v>12.78</v>
      </c>
      <c r="H965">
        <v>14.95</v>
      </c>
      <c r="I965">
        <v>158</v>
      </c>
      <c r="J965">
        <v>144</v>
      </c>
      <c r="K965">
        <v>692</v>
      </c>
      <c r="L965" s="2">
        <v>3.0324074074074073E-3</v>
      </c>
      <c r="M965" s="2">
        <v>1.6018518518518519E-2</v>
      </c>
      <c r="N965" s="2">
        <v>3.2546296296296295E-2</v>
      </c>
      <c r="O965" s="2">
        <v>0</v>
      </c>
      <c r="P965" s="2">
        <v>0</v>
      </c>
    </row>
    <row r="966" spans="1:16" x14ac:dyDescent="0.3">
      <c r="A966" s="1">
        <v>45566.884629629632</v>
      </c>
      <c r="B966" s="1">
        <v>45566.922349537039</v>
      </c>
      <c r="C966">
        <v>53.82</v>
      </c>
      <c r="D966" s="2">
        <v>3.7372685185185189E-2</v>
      </c>
      <c r="E966">
        <v>12.305</v>
      </c>
      <c r="F966" s="2">
        <v>3.0324074074074073E-3</v>
      </c>
      <c r="G966">
        <v>13.72</v>
      </c>
      <c r="H966">
        <v>16.559999999999999</v>
      </c>
      <c r="I966">
        <v>174</v>
      </c>
      <c r="J966">
        <v>156</v>
      </c>
      <c r="K966">
        <v>838</v>
      </c>
      <c r="L966" s="2">
        <v>2.8240740740740739E-3</v>
      </c>
      <c r="M966" s="2">
        <v>1.4606481481481482E-2</v>
      </c>
      <c r="N966" s="2">
        <v>2.9976851851851852E-2</v>
      </c>
      <c r="O966" s="2">
        <v>0</v>
      </c>
      <c r="P966" s="2">
        <v>0</v>
      </c>
    </row>
    <row r="967" spans="1:16" x14ac:dyDescent="0.3">
      <c r="A967" s="1">
        <v>45570.913564814815</v>
      </c>
      <c r="B967" s="1">
        <v>45570.955057870371</v>
      </c>
      <c r="C967">
        <v>55.94</v>
      </c>
      <c r="D967" s="2">
        <v>3.8842592592592588E-2</v>
      </c>
      <c r="E967">
        <v>10.253</v>
      </c>
      <c r="F967" s="2">
        <v>3.7847222222222223E-3</v>
      </c>
      <c r="G967">
        <v>11</v>
      </c>
      <c r="H967">
        <v>12.6</v>
      </c>
      <c r="I967">
        <v>147</v>
      </c>
      <c r="J967">
        <v>133</v>
      </c>
      <c r="K967">
        <v>709</v>
      </c>
      <c r="L967" s="2">
        <v>3.5995370370370369E-3</v>
      </c>
      <c r="M967" s="2">
        <v>1.8541666666666668E-2</v>
      </c>
      <c r="N967" s="2">
        <v>3.7870370370370367E-2</v>
      </c>
      <c r="O967" s="2">
        <v>0</v>
      </c>
      <c r="P967" s="2">
        <v>0</v>
      </c>
    </row>
    <row r="968" spans="1:16" x14ac:dyDescent="0.3">
      <c r="A968" s="1">
        <v>45572.916666666664</v>
      </c>
      <c r="B968" s="1">
        <v>45572.966249999998</v>
      </c>
      <c r="C968">
        <v>66.86</v>
      </c>
      <c r="D968" s="2">
        <v>4.6423611111111117E-2</v>
      </c>
      <c r="E968">
        <v>15.102</v>
      </c>
      <c r="F968" s="2">
        <v>3.0671296296296297E-3</v>
      </c>
      <c r="G968">
        <v>13.55</v>
      </c>
      <c r="H968">
        <v>15.79</v>
      </c>
      <c r="I968">
        <v>170</v>
      </c>
      <c r="J968">
        <v>150</v>
      </c>
      <c r="K968">
        <v>995</v>
      </c>
      <c r="L968" s="2">
        <v>2.8472222222222219E-3</v>
      </c>
      <c r="M968" s="2">
        <v>1.4780092592592595E-2</v>
      </c>
      <c r="N968" s="2">
        <v>3.005787037037037E-2</v>
      </c>
      <c r="O968" s="2">
        <v>0</v>
      </c>
      <c r="P968" s="2">
        <v>0</v>
      </c>
    </row>
    <row r="969" spans="1:16" x14ac:dyDescent="0.3">
      <c r="A969" s="1">
        <v>45573.974479166667</v>
      </c>
      <c r="B969" s="1">
        <v>45574.010358796295</v>
      </c>
      <c r="C969">
        <v>51.67</v>
      </c>
      <c r="D969" s="2">
        <v>3.5879629629629629E-2</v>
      </c>
      <c r="E969">
        <v>10.252000000000001</v>
      </c>
      <c r="F969" s="2">
        <v>3.4953703703703705E-3</v>
      </c>
      <c r="G969">
        <v>11.9</v>
      </c>
      <c r="H969">
        <v>12.83</v>
      </c>
      <c r="I969">
        <v>151</v>
      </c>
      <c r="J969">
        <v>143</v>
      </c>
      <c r="K969">
        <v>716</v>
      </c>
      <c r="L969" s="2">
        <v>3.37962962962963E-3</v>
      </c>
      <c r="M969" s="2">
        <v>1.7326388888888888E-2</v>
      </c>
      <c r="N969" s="2">
        <v>3.4999999999999996E-2</v>
      </c>
      <c r="O969" s="2">
        <v>0</v>
      </c>
      <c r="P969" s="2">
        <v>0</v>
      </c>
    </row>
    <row r="970" spans="1:16" x14ac:dyDescent="0.3">
      <c r="A970" s="1">
        <v>45575.915601851855</v>
      </c>
      <c r="B970" s="1">
        <v>45575.968935185185</v>
      </c>
      <c r="C970">
        <v>76.81</v>
      </c>
      <c r="D970" s="2">
        <v>5.3333333333333337E-2</v>
      </c>
      <c r="E970">
        <v>15.502000000000001</v>
      </c>
      <c r="F970" s="2">
        <v>3.4375E-3</v>
      </c>
      <c r="G970">
        <v>12.11</v>
      </c>
      <c r="H970">
        <v>13.94</v>
      </c>
      <c r="I970">
        <v>162</v>
      </c>
      <c r="J970">
        <v>144</v>
      </c>
      <c r="K970">
        <v>1062</v>
      </c>
      <c r="L970" s="2">
        <v>3.2523148148148151E-3</v>
      </c>
      <c r="M970" s="2">
        <v>1.6932870370370369E-2</v>
      </c>
      <c r="N970" s="2">
        <v>3.4479166666666665E-2</v>
      </c>
      <c r="O970" s="2">
        <v>0</v>
      </c>
      <c r="P970" s="2">
        <v>0</v>
      </c>
    </row>
    <row r="971" spans="1:16" x14ac:dyDescent="0.3">
      <c r="A971" s="1">
        <v>45578.913958333331</v>
      </c>
      <c r="B971" s="1">
        <v>45578.951296296298</v>
      </c>
      <c r="C971">
        <v>53.78</v>
      </c>
      <c r="D971" s="2">
        <v>3.7337962962962962E-2</v>
      </c>
      <c r="E971">
        <v>12.215</v>
      </c>
      <c r="F971" s="2">
        <v>3.0555555555555557E-3</v>
      </c>
      <c r="G971">
        <v>13.63</v>
      </c>
      <c r="H971">
        <v>15.42</v>
      </c>
      <c r="I971">
        <v>168</v>
      </c>
      <c r="J971">
        <v>154</v>
      </c>
      <c r="K971">
        <v>827</v>
      </c>
      <c r="L971" s="2">
        <v>2.8240740740740739E-3</v>
      </c>
      <c r="M971" s="2">
        <v>1.480324074074074E-2</v>
      </c>
      <c r="N971" s="2">
        <v>3.0011574074074076E-2</v>
      </c>
      <c r="O971" s="2">
        <v>0</v>
      </c>
      <c r="P971" s="2">
        <v>0</v>
      </c>
    </row>
    <row r="972" spans="1:16" x14ac:dyDescent="0.3">
      <c r="A972" s="1">
        <v>45579.905462962961</v>
      </c>
      <c r="B972" s="1">
        <v>45579.940925925926</v>
      </c>
      <c r="C972">
        <v>51.07</v>
      </c>
      <c r="D972" s="2">
        <v>3.5462962962962967E-2</v>
      </c>
      <c r="E972">
        <v>10.254</v>
      </c>
      <c r="F972" s="2">
        <v>3.4490740740740745E-3</v>
      </c>
      <c r="G972">
        <v>12.05</v>
      </c>
      <c r="H972">
        <v>14.04</v>
      </c>
      <c r="I972">
        <v>165</v>
      </c>
      <c r="J972">
        <v>142</v>
      </c>
      <c r="K972">
        <v>701</v>
      </c>
      <c r="L972" s="2">
        <v>3.1597222222222222E-3</v>
      </c>
      <c r="M972" s="2">
        <v>1.7175925925925924E-2</v>
      </c>
      <c r="N972" s="2">
        <v>3.4548611111111113E-2</v>
      </c>
      <c r="O972" s="2">
        <v>0</v>
      </c>
      <c r="P972" s="2">
        <v>0</v>
      </c>
    </row>
    <row r="973" spans="1:16" x14ac:dyDescent="0.3">
      <c r="A973" s="1">
        <v>45581.691296296296</v>
      </c>
      <c r="B973" s="1">
        <v>45581.728414351855</v>
      </c>
      <c r="C973">
        <v>53.46</v>
      </c>
      <c r="D973" s="2">
        <v>3.7118055555555557E-2</v>
      </c>
      <c r="E973">
        <v>12.217000000000001</v>
      </c>
      <c r="F973" s="2">
        <v>3.0324074074074073E-3</v>
      </c>
      <c r="G973">
        <v>13.71</v>
      </c>
      <c r="H973">
        <v>15.12</v>
      </c>
      <c r="I973">
        <v>172</v>
      </c>
      <c r="J973">
        <v>156</v>
      </c>
      <c r="K973">
        <v>840</v>
      </c>
      <c r="L973" s="2">
        <v>2.8472222222222219E-3</v>
      </c>
      <c r="M973" s="2">
        <v>1.480324074074074E-2</v>
      </c>
      <c r="N973" s="2">
        <v>3.005787037037037E-2</v>
      </c>
      <c r="O973" s="2">
        <v>0</v>
      </c>
      <c r="P973" s="2">
        <v>0</v>
      </c>
    </row>
    <row r="974" spans="1:16" x14ac:dyDescent="0.3">
      <c r="A974" s="1">
        <v>45583.237129629626</v>
      </c>
      <c r="B974" s="1">
        <v>45583.327199074076</v>
      </c>
      <c r="C974">
        <v>120.08</v>
      </c>
      <c r="D974" s="2">
        <v>8.3379629629629637E-2</v>
      </c>
      <c r="E974">
        <v>25.553000000000001</v>
      </c>
      <c r="F974" s="2">
        <v>3.2523148148148151E-3</v>
      </c>
      <c r="G974">
        <v>12.77</v>
      </c>
      <c r="H974">
        <v>16.329999999999998</v>
      </c>
      <c r="I974">
        <v>171</v>
      </c>
      <c r="J974">
        <v>146</v>
      </c>
      <c r="K974">
        <v>1718</v>
      </c>
      <c r="L974" s="2">
        <v>2.8935185185185188E-3</v>
      </c>
      <c r="M974" s="2">
        <v>1.5335648148148147E-2</v>
      </c>
      <c r="N974" s="2">
        <v>3.1041666666666665E-2</v>
      </c>
      <c r="O974" s="2">
        <v>6.732638888888888E-2</v>
      </c>
      <c r="P974" s="2">
        <v>0</v>
      </c>
    </row>
    <row r="975" spans="1:16" x14ac:dyDescent="0.3">
      <c r="A975" s="1">
        <v>45584.961261574077</v>
      </c>
      <c r="B975" s="1">
        <v>45584.996770833335</v>
      </c>
      <c r="C975">
        <v>51.14</v>
      </c>
      <c r="D975" s="2">
        <v>3.5509259259259261E-2</v>
      </c>
      <c r="E975">
        <v>10.253</v>
      </c>
      <c r="F975" s="2">
        <v>3.4606481481481485E-3</v>
      </c>
      <c r="G975">
        <v>12.03</v>
      </c>
      <c r="H975">
        <v>14.61</v>
      </c>
      <c r="I975">
        <v>150</v>
      </c>
      <c r="J975">
        <v>134</v>
      </c>
      <c r="K975">
        <v>710</v>
      </c>
      <c r="L975" s="2">
        <v>3.2870370370370367E-3</v>
      </c>
      <c r="M975" s="2">
        <v>1.7013888888888887E-2</v>
      </c>
      <c r="N975" s="2">
        <v>3.4618055555555555E-2</v>
      </c>
      <c r="O975" s="2">
        <v>0</v>
      </c>
      <c r="P975" s="2">
        <v>0</v>
      </c>
    </row>
    <row r="976" spans="1:16" x14ac:dyDescent="0.3">
      <c r="A976" s="1">
        <v>45586.352141203701</v>
      </c>
      <c r="B976" s="1">
        <v>45586.395196759258</v>
      </c>
      <c r="C976">
        <v>62.01</v>
      </c>
      <c r="D976" s="2">
        <v>4.3055555555555562E-2</v>
      </c>
      <c r="E976">
        <v>14.065</v>
      </c>
      <c r="F976" s="2">
        <v>3.0555555555555557E-3</v>
      </c>
      <c r="G976">
        <v>13.61</v>
      </c>
      <c r="H976">
        <v>17.16</v>
      </c>
      <c r="I976">
        <v>164</v>
      </c>
      <c r="J976">
        <v>150</v>
      </c>
      <c r="K976">
        <v>952</v>
      </c>
      <c r="L976" s="2">
        <v>2.8009259259259259E-3</v>
      </c>
      <c r="M976" s="2">
        <v>1.480324074074074E-2</v>
      </c>
      <c r="N976" s="2">
        <v>3.0000000000000002E-2</v>
      </c>
      <c r="O976" s="2">
        <v>0</v>
      </c>
      <c r="P976" s="2">
        <v>0</v>
      </c>
    </row>
    <row r="977" spans="1:16" x14ac:dyDescent="0.3">
      <c r="A977" s="1">
        <v>45588.688703703701</v>
      </c>
      <c r="B977" s="1">
        <v>45588.722210648149</v>
      </c>
      <c r="C977">
        <v>48.26</v>
      </c>
      <c r="D977" s="2">
        <v>3.3506944444444443E-2</v>
      </c>
      <c r="E977">
        <v>11.116</v>
      </c>
      <c r="F977" s="2">
        <v>3.0092592592592588E-3</v>
      </c>
      <c r="G977">
        <v>13.82</v>
      </c>
      <c r="H977">
        <v>15.72</v>
      </c>
      <c r="I977">
        <v>168</v>
      </c>
      <c r="J977">
        <v>155</v>
      </c>
      <c r="K977">
        <v>752</v>
      </c>
      <c r="L977" s="2">
        <v>2.8009259259259259E-3</v>
      </c>
      <c r="M977" s="2">
        <v>1.4618055555555556E-2</v>
      </c>
      <c r="N977" s="2">
        <v>2.9930555555555557E-2</v>
      </c>
      <c r="O977" s="2">
        <v>0</v>
      </c>
      <c r="P977" s="2">
        <v>0</v>
      </c>
    </row>
    <row r="978" spans="1:16" x14ac:dyDescent="0.3">
      <c r="A978" s="1">
        <v>45590.623437499999</v>
      </c>
      <c r="B978" s="1">
        <v>45590.676111111112</v>
      </c>
      <c r="C978">
        <v>75.849999999999994</v>
      </c>
      <c r="D978" s="2">
        <v>5.2673611111111109E-2</v>
      </c>
      <c r="E978">
        <v>16.506</v>
      </c>
      <c r="F978" s="2">
        <v>3.1828703703703702E-3</v>
      </c>
      <c r="G978">
        <v>13.06</v>
      </c>
      <c r="H978">
        <v>19.45</v>
      </c>
      <c r="I978">
        <v>163</v>
      </c>
      <c r="J978">
        <v>149</v>
      </c>
      <c r="K978">
        <v>1114</v>
      </c>
      <c r="L978" s="2">
        <v>2.7893518518518519E-3</v>
      </c>
      <c r="M978" s="2">
        <v>1.5659722222222224E-2</v>
      </c>
      <c r="N978" s="2">
        <v>3.172453703703703E-2</v>
      </c>
      <c r="O978" s="2">
        <v>0</v>
      </c>
      <c r="P978" s="2">
        <v>0</v>
      </c>
    </row>
    <row r="979" spans="1:16" x14ac:dyDescent="0.3">
      <c r="A979" s="1">
        <v>45591.953472222223</v>
      </c>
      <c r="B979" s="1">
        <v>45591.993333333332</v>
      </c>
      <c r="C979">
        <v>57.4</v>
      </c>
      <c r="D979" s="2">
        <v>3.9861111111111111E-2</v>
      </c>
      <c r="E979">
        <v>11.113</v>
      </c>
      <c r="F979" s="2">
        <v>3.5763888888888894E-3</v>
      </c>
      <c r="G979">
        <v>11.62</v>
      </c>
      <c r="H979">
        <v>14.11</v>
      </c>
      <c r="I979">
        <v>166</v>
      </c>
      <c r="J979">
        <v>149</v>
      </c>
      <c r="K979">
        <v>790</v>
      </c>
      <c r="L979" s="2">
        <v>3.4490740740740745E-3</v>
      </c>
      <c r="M979" s="2">
        <v>1.7800925925925925E-2</v>
      </c>
      <c r="N979" s="2">
        <v>3.5729166666666666E-2</v>
      </c>
      <c r="O979" s="2">
        <v>0</v>
      </c>
      <c r="P979" s="2">
        <v>0</v>
      </c>
    </row>
    <row r="980" spans="1:16" x14ac:dyDescent="0.3">
      <c r="A980" s="1">
        <v>45593.772407407407</v>
      </c>
      <c r="B980" s="1">
        <v>45593.823020833333</v>
      </c>
      <c r="C980">
        <v>72.89</v>
      </c>
      <c r="D980" s="2">
        <v>5.061342592592593E-2</v>
      </c>
      <c r="E980">
        <v>15.252000000000001</v>
      </c>
      <c r="F980" s="2">
        <v>3.3101851851851851E-3</v>
      </c>
      <c r="G980">
        <v>12.55</v>
      </c>
      <c r="H980">
        <v>14.38</v>
      </c>
      <c r="I980">
        <v>158</v>
      </c>
      <c r="J980">
        <v>148</v>
      </c>
      <c r="K980">
        <v>1050</v>
      </c>
      <c r="L980" s="2">
        <v>3.1828703703703702E-3</v>
      </c>
      <c r="M980" s="2">
        <v>1.6331018518518519E-2</v>
      </c>
      <c r="N980" s="2">
        <v>3.3055555555555553E-2</v>
      </c>
      <c r="O980" s="2">
        <v>0</v>
      </c>
      <c r="P980" s="2">
        <v>0</v>
      </c>
    </row>
    <row r="981" spans="1:16" x14ac:dyDescent="0.3">
      <c r="A981" s="1">
        <v>45595.774270833332</v>
      </c>
      <c r="B981" s="1">
        <v>45595.807245370372</v>
      </c>
      <c r="C981">
        <v>47.17</v>
      </c>
      <c r="D981" s="2">
        <v>3.2754629629629627E-2</v>
      </c>
      <c r="E981">
        <v>10.503</v>
      </c>
      <c r="F981" s="2">
        <v>3.1134259259259257E-3</v>
      </c>
      <c r="G981">
        <v>13.36</v>
      </c>
      <c r="H981">
        <v>15.72</v>
      </c>
      <c r="I981">
        <v>162</v>
      </c>
      <c r="J981">
        <v>143</v>
      </c>
      <c r="K981">
        <v>701</v>
      </c>
      <c r="L981" s="2">
        <v>2.9166666666666668E-3</v>
      </c>
      <c r="M981" s="2">
        <v>1.5266203703703705E-2</v>
      </c>
      <c r="N981" s="2">
        <v>3.1134259259259261E-2</v>
      </c>
      <c r="O981" s="2">
        <v>0</v>
      </c>
      <c r="P981" s="2">
        <v>0</v>
      </c>
    </row>
    <row r="982" spans="1:16" x14ac:dyDescent="0.3">
      <c r="A982" s="1">
        <v>45595.831331018519</v>
      </c>
      <c r="B982" s="1">
        <v>45595.843912037039</v>
      </c>
      <c r="C982">
        <v>18.12</v>
      </c>
      <c r="D982" s="2">
        <v>1.2581018518518519E-2</v>
      </c>
      <c r="E982">
        <v>3.331</v>
      </c>
      <c r="F982" s="2">
        <v>3.7731481481481483E-3</v>
      </c>
      <c r="G982">
        <v>11.03</v>
      </c>
      <c r="H982">
        <v>12.73</v>
      </c>
      <c r="I982">
        <v>157</v>
      </c>
      <c r="J982">
        <v>136</v>
      </c>
      <c r="K982">
        <v>241</v>
      </c>
      <c r="L982" s="2">
        <v>3.7152777777777774E-3</v>
      </c>
      <c r="M982" s="2">
        <v>0</v>
      </c>
      <c r="N982" s="2">
        <v>0</v>
      </c>
      <c r="O982" s="2">
        <v>0</v>
      </c>
      <c r="P982" s="2">
        <v>0</v>
      </c>
    </row>
    <row r="983" spans="1:16" x14ac:dyDescent="0.3">
      <c r="A983" s="1">
        <v>45597.294641203705</v>
      </c>
      <c r="B983" s="1">
        <v>45597.32534722222</v>
      </c>
      <c r="C983">
        <v>39.619999999999997</v>
      </c>
      <c r="D983" s="2">
        <v>2.7511574074074074E-2</v>
      </c>
      <c r="E983">
        <v>10.029</v>
      </c>
      <c r="F983" s="2">
        <v>2.7430555555555559E-3</v>
      </c>
      <c r="G983">
        <v>15.19</v>
      </c>
      <c r="H983">
        <v>18.41</v>
      </c>
      <c r="I983">
        <v>176</v>
      </c>
      <c r="J983">
        <v>165</v>
      </c>
      <c r="K983">
        <v>674</v>
      </c>
      <c r="L983" s="2">
        <v>2.5347222222222221E-3</v>
      </c>
      <c r="M983" s="2">
        <v>1.3379629629629628E-2</v>
      </c>
      <c r="N983" s="2">
        <v>2.7465277777777772E-2</v>
      </c>
      <c r="O983" s="2">
        <v>0</v>
      </c>
      <c r="P983" s="2">
        <v>0</v>
      </c>
    </row>
    <row r="984" spans="1:16" x14ac:dyDescent="0.3">
      <c r="A984" s="1">
        <v>45597.334317129629</v>
      </c>
      <c r="B984" s="1">
        <v>45597.351597222223</v>
      </c>
      <c r="C984">
        <v>24.88</v>
      </c>
      <c r="D984" s="2">
        <v>1.726851851851852E-2</v>
      </c>
      <c r="E984">
        <v>5.1520000000000001</v>
      </c>
      <c r="F984" s="2">
        <v>3.3449074074074071E-3</v>
      </c>
      <c r="G984">
        <v>12.42</v>
      </c>
      <c r="H984">
        <v>13.5</v>
      </c>
      <c r="I984">
        <v>155</v>
      </c>
      <c r="J984">
        <v>145</v>
      </c>
      <c r="K984">
        <v>361</v>
      </c>
      <c r="L984" s="2">
        <v>3.1828703703703702E-3</v>
      </c>
      <c r="M984" s="2">
        <v>1.6770833333333332E-2</v>
      </c>
      <c r="N984" s="2">
        <v>0</v>
      </c>
      <c r="O984" s="2">
        <v>0</v>
      </c>
      <c r="P984" s="2">
        <v>0</v>
      </c>
    </row>
    <row r="985" spans="1:16" x14ac:dyDescent="0.3">
      <c r="A985" s="1">
        <v>45598.913842592592</v>
      </c>
      <c r="B985" s="1">
        <v>45598.953009259261</v>
      </c>
      <c r="C985">
        <v>56.4</v>
      </c>
      <c r="D985" s="2">
        <v>3.9166666666666662E-2</v>
      </c>
      <c r="E985">
        <v>11.113</v>
      </c>
      <c r="F985" s="2">
        <v>3.5185185185185185E-3</v>
      </c>
      <c r="G985">
        <v>11.82</v>
      </c>
      <c r="H985">
        <v>14.51</v>
      </c>
      <c r="I985">
        <v>173</v>
      </c>
      <c r="J985">
        <v>151</v>
      </c>
      <c r="K985">
        <v>800</v>
      </c>
      <c r="L985" s="2">
        <v>3.3564814814814811E-3</v>
      </c>
      <c r="M985" s="2">
        <v>1.7349537037037038E-2</v>
      </c>
      <c r="N985" s="2">
        <v>3.5127314814814813E-2</v>
      </c>
      <c r="O985" s="2">
        <v>0</v>
      </c>
      <c r="P985" s="2">
        <v>0</v>
      </c>
    </row>
    <row r="986" spans="1:16" x14ac:dyDescent="0.3">
      <c r="A986" s="1">
        <v>45599.826412037037</v>
      </c>
      <c r="B986" s="1">
        <v>45599.865868055553</v>
      </c>
      <c r="C986">
        <v>56.74</v>
      </c>
      <c r="D986" s="2">
        <v>3.9398148148148147E-2</v>
      </c>
      <c r="E986">
        <v>12.252000000000001</v>
      </c>
      <c r="F986" s="2">
        <v>3.2060185185185191E-3</v>
      </c>
      <c r="G986">
        <v>12.95</v>
      </c>
      <c r="H986">
        <v>17.399999999999999</v>
      </c>
      <c r="I986">
        <v>166</v>
      </c>
      <c r="J986">
        <v>142</v>
      </c>
      <c r="K986">
        <v>845</v>
      </c>
      <c r="L986" s="2">
        <v>3.0208333333333333E-3</v>
      </c>
      <c r="M986" s="2">
        <v>1.5659722222222224E-2</v>
      </c>
      <c r="N986" s="2">
        <v>3.1956018518518516E-2</v>
      </c>
      <c r="O986" s="2">
        <v>0</v>
      </c>
      <c r="P986" s="2">
        <v>0</v>
      </c>
    </row>
    <row r="987" spans="1:16" x14ac:dyDescent="0.3">
      <c r="A987" s="1">
        <v>45601.816168981481</v>
      </c>
      <c r="B987" s="1">
        <v>45601.866666666669</v>
      </c>
      <c r="C987">
        <v>71.44</v>
      </c>
      <c r="D987" s="2">
        <v>4.9606481481481481E-2</v>
      </c>
      <c r="E987">
        <v>16.257999999999999</v>
      </c>
      <c r="F987" s="2">
        <v>3.0439814814814821E-3</v>
      </c>
      <c r="G987">
        <v>13.65</v>
      </c>
      <c r="H987">
        <v>18.61</v>
      </c>
      <c r="I987">
        <v>178</v>
      </c>
      <c r="J987">
        <v>150</v>
      </c>
      <c r="K987">
        <v>1078</v>
      </c>
      <c r="L987" s="2">
        <v>2.5810185185185185E-3</v>
      </c>
      <c r="M987" s="2">
        <v>1.4305555555555557E-2</v>
      </c>
      <c r="N987" s="2">
        <v>2.9317129629629634E-2</v>
      </c>
      <c r="O987" s="2">
        <v>0</v>
      </c>
      <c r="P987" s="2">
        <v>0</v>
      </c>
    </row>
    <row r="988" spans="1:16" x14ac:dyDescent="0.3">
      <c r="A988" s="1">
        <v>45603.971041666664</v>
      </c>
      <c r="B988" s="1">
        <v>45604.049085648148</v>
      </c>
      <c r="C988">
        <v>108.86</v>
      </c>
      <c r="D988" s="2">
        <v>7.5590277777777784E-2</v>
      </c>
      <c r="E988">
        <v>22.224</v>
      </c>
      <c r="F988" s="2">
        <v>3.3912037037037036E-3</v>
      </c>
      <c r="G988">
        <v>12.25</v>
      </c>
      <c r="H988">
        <v>18.170000000000002</v>
      </c>
      <c r="I988">
        <v>161</v>
      </c>
      <c r="J988">
        <v>140</v>
      </c>
      <c r="K988">
        <v>1490</v>
      </c>
      <c r="L988" s="2">
        <v>2.9976851851851848E-3</v>
      </c>
      <c r="M988" s="2">
        <v>1.636574074074074E-2</v>
      </c>
      <c r="N988" s="2">
        <v>3.3761574074074076E-2</v>
      </c>
      <c r="O988" s="2">
        <v>7.166666666666667E-2</v>
      </c>
      <c r="P988" s="2">
        <v>0</v>
      </c>
    </row>
    <row r="989" spans="1:16" x14ac:dyDescent="0.3">
      <c r="A989" s="1">
        <v>45604.638692129629</v>
      </c>
      <c r="B989" s="1">
        <v>45604.667986111112</v>
      </c>
      <c r="C989">
        <v>40.81</v>
      </c>
      <c r="D989" s="2">
        <v>2.8333333333333332E-2</v>
      </c>
      <c r="E989">
        <v>8.2530000000000001</v>
      </c>
      <c r="F989" s="2">
        <v>3.425925925925926E-3</v>
      </c>
      <c r="G989">
        <v>12.13</v>
      </c>
      <c r="H989">
        <v>16.79</v>
      </c>
      <c r="I989">
        <v>163</v>
      </c>
      <c r="J989">
        <v>138</v>
      </c>
      <c r="K989">
        <v>548</v>
      </c>
      <c r="L989" s="2">
        <v>2.9398148148148148E-3</v>
      </c>
      <c r="M989" s="2">
        <v>1.5497685185185186E-2</v>
      </c>
      <c r="N989" s="2">
        <v>0</v>
      </c>
      <c r="O989" s="2">
        <v>0</v>
      </c>
      <c r="P989" s="2">
        <v>0</v>
      </c>
    </row>
    <row r="990" spans="1:16" x14ac:dyDescent="0.3">
      <c r="A990" s="1">
        <v>45605.918888888889</v>
      </c>
      <c r="B990" s="1">
        <v>45605.965081018519</v>
      </c>
      <c r="C990">
        <v>65.13</v>
      </c>
      <c r="D990" s="2">
        <v>4.521990740740741E-2</v>
      </c>
      <c r="E990">
        <v>12.215</v>
      </c>
      <c r="F990" s="2">
        <v>3.6921296296296298E-3</v>
      </c>
      <c r="G990">
        <v>11.25</v>
      </c>
      <c r="H990">
        <v>14.28</v>
      </c>
      <c r="I990">
        <v>162</v>
      </c>
      <c r="J990">
        <v>138</v>
      </c>
      <c r="K990">
        <v>853</v>
      </c>
      <c r="L990" s="2">
        <v>3.5416666666666665E-3</v>
      </c>
      <c r="M990" s="2">
        <v>1.832175925925926E-2</v>
      </c>
      <c r="N990" s="2">
        <v>3.6944444444444446E-2</v>
      </c>
      <c r="O990" s="2">
        <v>0</v>
      </c>
      <c r="P990" s="2">
        <v>0</v>
      </c>
    </row>
    <row r="991" spans="1:16" x14ac:dyDescent="0.3">
      <c r="A991" s="1">
        <v>45607.782384259262</v>
      </c>
      <c r="B991" s="1">
        <v>45607.840208333335</v>
      </c>
      <c r="C991">
        <v>81.69</v>
      </c>
      <c r="D991" s="2">
        <v>5.6724537037037039E-2</v>
      </c>
      <c r="E991">
        <v>18.254999999999999</v>
      </c>
      <c r="F991" s="2">
        <v>3.1018518518518522E-3</v>
      </c>
      <c r="G991">
        <v>13.41</v>
      </c>
      <c r="H991">
        <v>16.86</v>
      </c>
      <c r="I991">
        <v>178</v>
      </c>
      <c r="J991">
        <v>152</v>
      </c>
      <c r="K991">
        <v>1231</v>
      </c>
      <c r="L991" s="2">
        <v>2.673611111111111E-3</v>
      </c>
      <c r="M991" s="2">
        <v>1.4085648148148151E-2</v>
      </c>
      <c r="N991" s="2">
        <v>2.9120370370370366E-2</v>
      </c>
      <c r="O991" s="2">
        <v>0</v>
      </c>
      <c r="P991" s="2">
        <v>0</v>
      </c>
    </row>
    <row r="992" spans="1:16" x14ac:dyDescent="0.3">
      <c r="A992" s="1">
        <v>45609.907696759263</v>
      </c>
      <c r="B992" s="1">
        <v>45609.958171296297</v>
      </c>
      <c r="C992">
        <v>72.69</v>
      </c>
      <c r="D992" s="2">
        <v>5.0474537037037033E-2</v>
      </c>
      <c r="E992">
        <v>14.253</v>
      </c>
      <c r="F992" s="2">
        <v>3.530092592592592E-3</v>
      </c>
      <c r="G992">
        <v>11.77</v>
      </c>
      <c r="H992">
        <v>15.18</v>
      </c>
      <c r="I992">
        <v>150</v>
      </c>
      <c r="J992">
        <v>137</v>
      </c>
      <c r="K992">
        <v>994</v>
      </c>
      <c r="L992" s="2">
        <v>3.3564814814814811E-3</v>
      </c>
      <c r="M992" s="2">
        <v>1.7361111111111112E-2</v>
      </c>
      <c r="N992" s="2">
        <v>3.5254629629629629E-2</v>
      </c>
      <c r="O992" s="2">
        <v>0</v>
      </c>
      <c r="P992" s="2">
        <v>0</v>
      </c>
    </row>
    <row r="993" spans="1:16" x14ac:dyDescent="0.3">
      <c r="A993" s="1">
        <v>45610.990844907406</v>
      </c>
      <c r="B993" s="1">
        <v>45611.067395833335</v>
      </c>
      <c r="C993">
        <v>108.15</v>
      </c>
      <c r="D993" s="2">
        <v>7.5104166666666666E-2</v>
      </c>
      <c r="E993">
        <v>22.222999999999999</v>
      </c>
      <c r="F993" s="2">
        <v>3.37962962962963E-3</v>
      </c>
      <c r="G993">
        <v>12.33</v>
      </c>
      <c r="H993">
        <v>13.87</v>
      </c>
      <c r="I993">
        <v>163</v>
      </c>
      <c r="J993">
        <v>146</v>
      </c>
      <c r="K993">
        <v>1539</v>
      </c>
      <c r="L993" s="2">
        <v>3.1249999999999997E-3</v>
      </c>
      <c r="M993" s="2">
        <v>1.6319444444444445E-2</v>
      </c>
      <c r="N993" s="2">
        <v>3.3113425925925928E-2</v>
      </c>
      <c r="O993" s="2">
        <v>7.1168981481481486E-2</v>
      </c>
      <c r="P993" s="2">
        <v>0</v>
      </c>
    </row>
    <row r="994" spans="1:16" x14ac:dyDescent="0.3">
      <c r="A994" s="1">
        <v>45612.928738425922</v>
      </c>
      <c r="B994" s="1">
        <v>45612.984583333331</v>
      </c>
      <c r="C994">
        <v>80.42</v>
      </c>
      <c r="D994" s="2">
        <v>5.5844907407407406E-2</v>
      </c>
      <c r="E994">
        <v>16.248999999999999</v>
      </c>
      <c r="F994" s="2">
        <v>3.425925925925926E-3</v>
      </c>
      <c r="G994">
        <v>12.12</v>
      </c>
      <c r="H994">
        <v>16.43</v>
      </c>
      <c r="I994">
        <v>158</v>
      </c>
      <c r="J994">
        <v>141</v>
      </c>
      <c r="K994">
        <v>1121</v>
      </c>
      <c r="L994" s="2">
        <v>3.0671296296296297E-3</v>
      </c>
      <c r="M994" s="2">
        <v>1.667824074074074E-2</v>
      </c>
      <c r="N994" s="2">
        <v>3.3865740740740738E-2</v>
      </c>
      <c r="O994" s="2">
        <v>0</v>
      </c>
      <c r="P994" s="2">
        <v>0</v>
      </c>
    </row>
    <row r="995" spans="1:16" x14ac:dyDescent="0.3">
      <c r="A995" s="1">
        <v>45613.854490740741</v>
      </c>
      <c r="B995" s="1">
        <v>45613.886145833334</v>
      </c>
      <c r="C995">
        <v>45.6</v>
      </c>
      <c r="D995" s="2">
        <v>3.1655092592592596E-2</v>
      </c>
      <c r="E995">
        <v>10.301</v>
      </c>
      <c r="F995" s="2">
        <v>3.0671296296296297E-3</v>
      </c>
      <c r="G995">
        <v>13.55</v>
      </c>
      <c r="H995">
        <v>16.59</v>
      </c>
      <c r="I995">
        <v>164</v>
      </c>
      <c r="J995">
        <v>148</v>
      </c>
      <c r="K995">
        <v>698</v>
      </c>
      <c r="L995" s="2">
        <v>2.8240740740740739E-3</v>
      </c>
      <c r="M995" s="2">
        <v>1.4872685185185185E-2</v>
      </c>
      <c r="N995" s="2">
        <v>3.0717592592592591E-2</v>
      </c>
      <c r="O995" s="2">
        <v>0</v>
      </c>
      <c r="P995" s="2">
        <v>0</v>
      </c>
    </row>
    <row r="996" spans="1:16" x14ac:dyDescent="0.3">
      <c r="A996" s="1">
        <v>45615.805069444446</v>
      </c>
      <c r="B996" s="1">
        <v>45615.841608796298</v>
      </c>
      <c r="C996">
        <v>52.63</v>
      </c>
      <c r="D996" s="2">
        <v>3.6539351851851851E-2</v>
      </c>
      <c r="E996">
        <v>11.114000000000001</v>
      </c>
      <c r="F996" s="2">
        <v>3.2870370370370367E-3</v>
      </c>
      <c r="G996">
        <v>12.67</v>
      </c>
      <c r="H996">
        <v>16.16</v>
      </c>
      <c r="I996">
        <v>157</v>
      </c>
      <c r="J996">
        <v>146</v>
      </c>
      <c r="K996">
        <v>764</v>
      </c>
      <c r="L996" s="2">
        <v>3.1018518518518522E-3</v>
      </c>
      <c r="M996" s="2">
        <v>1.6111111111111111E-2</v>
      </c>
      <c r="N996" s="2">
        <v>3.260416666666667E-2</v>
      </c>
      <c r="O996" s="2">
        <v>0</v>
      </c>
      <c r="P996" s="2">
        <v>0</v>
      </c>
    </row>
    <row r="997" spans="1:16" x14ac:dyDescent="0.3">
      <c r="A997" s="1">
        <v>45616.55369212963</v>
      </c>
      <c r="B997" s="1">
        <v>45616.589768518519</v>
      </c>
      <c r="C997">
        <v>51.95</v>
      </c>
      <c r="D997" s="2">
        <v>3.6076388888888887E-2</v>
      </c>
      <c r="E997">
        <v>10.255000000000001</v>
      </c>
      <c r="F997" s="2">
        <v>3.5069444444444445E-3</v>
      </c>
      <c r="G997">
        <v>11.84</v>
      </c>
      <c r="H997">
        <v>13.2</v>
      </c>
      <c r="I997">
        <v>158</v>
      </c>
      <c r="J997">
        <v>141</v>
      </c>
      <c r="K997">
        <v>717</v>
      </c>
      <c r="L997" s="2">
        <v>3.425925925925926E-3</v>
      </c>
      <c r="M997" s="2">
        <v>1.7523148148148149E-2</v>
      </c>
      <c r="N997" s="2">
        <v>3.515046296296296E-2</v>
      </c>
      <c r="O997" s="2">
        <v>0</v>
      </c>
      <c r="P997" s="2">
        <v>0</v>
      </c>
    </row>
    <row r="998" spans="1:16" x14ac:dyDescent="0.3">
      <c r="A998" s="1">
        <v>45618.274178240739</v>
      </c>
      <c r="B998" s="1">
        <v>45618.30064814815</v>
      </c>
      <c r="C998">
        <v>38.119999999999997</v>
      </c>
      <c r="D998" s="2">
        <v>2.6469907407407411E-2</v>
      </c>
      <c r="E998">
        <v>10.018000000000001</v>
      </c>
      <c r="F998" s="2">
        <v>2.6388888888888885E-3</v>
      </c>
      <c r="G998">
        <v>15.77</v>
      </c>
      <c r="H998">
        <v>19.79</v>
      </c>
      <c r="I998">
        <v>187</v>
      </c>
      <c r="J998">
        <v>169</v>
      </c>
      <c r="K998">
        <v>667</v>
      </c>
      <c r="L998" s="2">
        <v>2.4537037037037036E-3</v>
      </c>
      <c r="M998" s="2">
        <v>1.3206018518518518E-2</v>
      </c>
      <c r="N998" s="2">
        <v>2.642361111111111E-2</v>
      </c>
      <c r="O998" s="2">
        <v>0</v>
      </c>
      <c r="P998" s="2">
        <v>0</v>
      </c>
    </row>
    <row r="999" spans="1:16" x14ac:dyDescent="0.3">
      <c r="A999" s="1">
        <v>45619.950648148151</v>
      </c>
      <c r="B999" s="1">
        <v>45619.998263888891</v>
      </c>
      <c r="C999">
        <v>66.66</v>
      </c>
      <c r="D999" s="2">
        <v>4.628472222222222E-2</v>
      </c>
      <c r="E999">
        <v>12.504</v>
      </c>
      <c r="F999" s="2">
        <v>3.6921296296296298E-3</v>
      </c>
      <c r="G999">
        <v>11.25</v>
      </c>
      <c r="H999">
        <v>12.36</v>
      </c>
      <c r="I999">
        <v>143</v>
      </c>
      <c r="J999">
        <v>132</v>
      </c>
      <c r="K999">
        <v>846</v>
      </c>
      <c r="L999" s="2">
        <v>3.5763888888888894E-3</v>
      </c>
      <c r="M999" s="2">
        <v>1.8263888888888889E-2</v>
      </c>
      <c r="N999" s="2">
        <v>3.6828703703703704E-2</v>
      </c>
      <c r="O999" s="2">
        <v>0</v>
      </c>
      <c r="P999" s="2">
        <v>0</v>
      </c>
    </row>
    <row r="1000" spans="1:16" x14ac:dyDescent="0.3">
      <c r="A1000" s="1">
        <v>45621.816840277781</v>
      </c>
      <c r="B1000" s="1">
        <v>45621.853946759256</v>
      </c>
      <c r="C1000">
        <v>53.44</v>
      </c>
      <c r="D1000" s="2">
        <v>3.7106481481481483E-2</v>
      </c>
      <c r="E1000">
        <v>12.214</v>
      </c>
      <c r="F1000" s="2">
        <v>3.0324074074074073E-3</v>
      </c>
      <c r="G1000">
        <v>13.71</v>
      </c>
      <c r="H1000">
        <v>19.72</v>
      </c>
      <c r="I1000">
        <v>171</v>
      </c>
      <c r="J1000">
        <v>151</v>
      </c>
      <c r="K1000">
        <v>831</v>
      </c>
      <c r="L1000" s="2">
        <v>2.8009259259259259E-3</v>
      </c>
      <c r="M1000" s="2">
        <v>1.4560185185185183E-2</v>
      </c>
      <c r="N1000" s="2">
        <v>2.9641203703703701E-2</v>
      </c>
      <c r="O1000" s="2">
        <v>0</v>
      </c>
      <c r="P1000" s="2">
        <v>0</v>
      </c>
    </row>
    <row r="1001" spans="1:16" x14ac:dyDescent="0.3">
      <c r="A1001" s="1">
        <v>45623.591261574074</v>
      </c>
      <c r="B1001" s="1">
        <v>45623.634826388887</v>
      </c>
      <c r="C1001">
        <v>59.3</v>
      </c>
      <c r="D1001" s="2">
        <v>4.116898148148148E-2</v>
      </c>
      <c r="E1001">
        <v>12.503</v>
      </c>
      <c r="F1001" s="2">
        <v>3.2870370370370367E-3</v>
      </c>
      <c r="G1001">
        <v>12.65</v>
      </c>
      <c r="H1001">
        <v>17.739999999999998</v>
      </c>
      <c r="I1001">
        <v>164</v>
      </c>
      <c r="J1001">
        <v>147</v>
      </c>
      <c r="K1001">
        <v>864</v>
      </c>
      <c r="L1001" s="2">
        <v>3.0092592592592588E-3</v>
      </c>
      <c r="M1001" s="2">
        <v>1.6076388888888887E-2</v>
      </c>
      <c r="N1001" s="2">
        <v>3.2638888888888891E-2</v>
      </c>
      <c r="O1001" s="2">
        <v>0</v>
      </c>
      <c r="P1001" s="2">
        <v>0</v>
      </c>
    </row>
    <row r="1002" spans="1:16" x14ac:dyDescent="0.3">
      <c r="A1002" s="1">
        <v>45625.30300925926</v>
      </c>
      <c r="B1002" s="1">
        <v>45625.315787037034</v>
      </c>
      <c r="C1002">
        <v>17.14</v>
      </c>
      <c r="D1002" s="2">
        <v>1.1898148148148149E-2</v>
      </c>
      <c r="E1002">
        <v>3.101</v>
      </c>
      <c r="F1002" s="2">
        <v>3.8310185185185183E-3</v>
      </c>
      <c r="G1002">
        <v>10.86</v>
      </c>
      <c r="H1002">
        <v>12.43</v>
      </c>
      <c r="I1002">
        <v>154</v>
      </c>
      <c r="J1002">
        <v>133</v>
      </c>
      <c r="K1002">
        <v>225</v>
      </c>
      <c r="L1002" s="2">
        <v>3.6111111111111114E-3</v>
      </c>
      <c r="M1002" s="2">
        <v>0</v>
      </c>
      <c r="N1002" s="2">
        <v>0</v>
      </c>
      <c r="O1002" s="2">
        <v>0</v>
      </c>
      <c r="P1002" s="2">
        <v>0</v>
      </c>
    </row>
    <row r="1003" spans="1:16" x14ac:dyDescent="0.3">
      <c r="A1003" s="1">
        <v>45625.327118055553</v>
      </c>
      <c r="B1003" s="1">
        <v>45625.354618055557</v>
      </c>
      <c r="C1003">
        <v>39.61</v>
      </c>
      <c r="D1003" s="2">
        <v>2.75E-2</v>
      </c>
      <c r="E1003">
        <v>10.005000000000001</v>
      </c>
      <c r="F1003" s="2">
        <v>2.7430555555555559E-3</v>
      </c>
      <c r="G1003">
        <v>15.16</v>
      </c>
      <c r="H1003">
        <v>17.84</v>
      </c>
      <c r="I1003">
        <v>186</v>
      </c>
      <c r="J1003">
        <v>169</v>
      </c>
      <c r="K1003">
        <v>675</v>
      </c>
      <c r="L1003" s="2">
        <v>2.4768518518518516E-3</v>
      </c>
      <c r="M1003" s="2">
        <v>1.3425925925925924E-2</v>
      </c>
      <c r="N1003" s="2">
        <v>2.7476851851851853E-2</v>
      </c>
      <c r="O1003" s="2">
        <v>0</v>
      </c>
      <c r="P1003" s="2">
        <v>0</v>
      </c>
    </row>
    <row r="1004" spans="1:16" x14ac:dyDescent="0.3">
      <c r="A1004" s="1">
        <v>45625.387997685182</v>
      </c>
      <c r="B1004" s="1">
        <v>45625.407511574071</v>
      </c>
      <c r="C1004">
        <v>27.58</v>
      </c>
      <c r="D1004" s="2">
        <v>1.9143518518518518E-2</v>
      </c>
      <c r="E1004">
        <v>5.0540000000000003</v>
      </c>
      <c r="F1004" s="2">
        <v>3.7847222222222223E-3</v>
      </c>
      <c r="G1004">
        <v>11</v>
      </c>
      <c r="H1004">
        <v>12.66</v>
      </c>
      <c r="I1004">
        <v>158</v>
      </c>
      <c r="J1004">
        <v>137</v>
      </c>
      <c r="K1004">
        <v>367</v>
      </c>
      <c r="L1004" s="2">
        <v>3.5879629629629629E-3</v>
      </c>
      <c r="M1004" s="2">
        <v>1.8935185185185183E-2</v>
      </c>
      <c r="N1004" s="2">
        <v>0</v>
      </c>
      <c r="O1004" s="2">
        <v>0</v>
      </c>
      <c r="P1004" s="2">
        <v>0</v>
      </c>
    </row>
    <row r="1005" spans="1:16" x14ac:dyDescent="0.3">
      <c r="A1005" s="1">
        <v>45626.880254629628</v>
      </c>
      <c r="B1005" s="1">
        <v>45626.93509259259</v>
      </c>
      <c r="C1005">
        <v>78.97</v>
      </c>
      <c r="D1005" s="2">
        <v>5.4837962962962956E-2</v>
      </c>
      <c r="E1005">
        <v>15.252000000000001</v>
      </c>
      <c r="F1005" s="2">
        <v>3.5879629629629629E-3</v>
      </c>
      <c r="G1005">
        <v>11.59</v>
      </c>
      <c r="H1005">
        <v>12.66</v>
      </c>
      <c r="I1005">
        <v>174</v>
      </c>
      <c r="J1005">
        <v>150</v>
      </c>
      <c r="K1005">
        <v>1112</v>
      </c>
      <c r="L1005" s="2">
        <v>3.4375E-3</v>
      </c>
      <c r="M1005" s="2">
        <v>1.758101851851852E-2</v>
      </c>
      <c r="N1005" s="2">
        <v>3.5590277777777776E-2</v>
      </c>
      <c r="O1005" s="2">
        <v>0</v>
      </c>
      <c r="P1005" s="2">
        <v>0</v>
      </c>
    </row>
    <row r="1006" spans="1:16" x14ac:dyDescent="0.3">
      <c r="A1006" s="1">
        <v>45627.822118055556</v>
      </c>
      <c r="B1006" s="1">
        <v>45627.877812500003</v>
      </c>
      <c r="C1006">
        <v>78.84</v>
      </c>
      <c r="D1006" s="2">
        <v>5.4745370370370368E-2</v>
      </c>
      <c r="E1006">
        <v>18.257000000000001</v>
      </c>
      <c r="F1006" s="2">
        <v>2.9976851851851848E-3</v>
      </c>
      <c r="G1006">
        <v>13.89</v>
      </c>
      <c r="H1006">
        <v>19.989999999999998</v>
      </c>
      <c r="I1006">
        <v>170</v>
      </c>
      <c r="J1006">
        <v>150</v>
      </c>
      <c r="K1006">
        <v>1197</v>
      </c>
      <c r="L1006" s="2">
        <v>2.5925925925925925E-3</v>
      </c>
      <c r="M1006" s="2">
        <v>1.4212962962962962E-2</v>
      </c>
      <c r="N1006" s="2">
        <v>2.900462962962963E-2</v>
      </c>
      <c r="O1006" s="2">
        <v>0</v>
      </c>
      <c r="P1006" s="2">
        <v>0</v>
      </c>
    </row>
    <row r="1007" spans="1:16" x14ac:dyDescent="0.3">
      <c r="A1007" s="1">
        <v>45629.932604166665</v>
      </c>
      <c r="B1007" s="1">
        <v>45629.986898148149</v>
      </c>
      <c r="C1007">
        <v>78.2</v>
      </c>
      <c r="D1007" s="2">
        <v>5.4293981481481485E-2</v>
      </c>
      <c r="E1007">
        <v>16.248000000000001</v>
      </c>
      <c r="F1007" s="2">
        <v>3.3333333333333335E-3</v>
      </c>
      <c r="G1007">
        <v>12.47</v>
      </c>
      <c r="H1007">
        <v>14.75</v>
      </c>
      <c r="I1007">
        <v>179</v>
      </c>
      <c r="J1007">
        <v>159</v>
      </c>
      <c r="K1007">
        <v>1153</v>
      </c>
      <c r="L1007" s="2">
        <v>3.1828703703703702E-3</v>
      </c>
      <c r="M1007" s="2">
        <v>1.6377314814814813E-2</v>
      </c>
      <c r="N1007" s="2">
        <v>3.3043981481481487E-2</v>
      </c>
      <c r="O1007" s="2">
        <v>0</v>
      </c>
      <c r="P1007" s="2">
        <v>0</v>
      </c>
    </row>
    <row r="1008" spans="1:16" x14ac:dyDescent="0.3">
      <c r="A1008" s="1">
        <v>45631.876655092594</v>
      </c>
      <c r="B1008" s="1">
        <v>45631.957673611112</v>
      </c>
      <c r="C1008">
        <v>115.05</v>
      </c>
      <c r="D1008" s="2">
        <v>7.9895833333333333E-2</v>
      </c>
      <c r="E1008">
        <v>25.254999999999999</v>
      </c>
      <c r="F1008" s="2">
        <v>3.1597222222222222E-3</v>
      </c>
      <c r="G1008">
        <v>13.17</v>
      </c>
      <c r="H1008">
        <v>15.48</v>
      </c>
      <c r="I1008">
        <v>169</v>
      </c>
      <c r="J1008">
        <v>148</v>
      </c>
      <c r="K1008">
        <v>1694</v>
      </c>
      <c r="L1008" s="2">
        <v>2.8935185185185188E-3</v>
      </c>
      <c r="M1008" s="2">
        <v>1.4907407407407406E-2</v>
      </c>
      <c r="N1008" s="2">
        <v>3.005787037037037E-2</v>
      </c>
      <c r="O1008" s="2">
        <v>6.581018518518518E-2</v>
      </c>
      <c r="P1008" s="2">
        <v>0</v>
      </c>
    </row>
    <row r="1009" spans="1:16" x14ac:dyDescent="0.3">
      <c r="A1009" s="1">
        <v>45633.86378472222</v>
      </c>
      <c r="B1009" s="1">
        <v>45633.910844907405</v>
      </c>
      <c r="C1009">
        <v>67.78</v>
      </c>
      <c r="D1009" s="2">
        <v>4.7060185185185184E-2</v>
      </c>
      <c r="E1009">
        <v>13.253</v>
      </c>
      <c r="F1009" s="2">
        <v>3.5416666666666665E-3</v>
      </c>
      <c r="G1009">
        <v>11.73</v>
      </c>
      <c r="H1009">
        <v>14.75</v>
      </c>
      <c r="I1009">
        <v>162</v>
      </c>
      <c r="J1009">
        <v>141</v>
      </c>
      <c r="K1009">
        <v>929</v>
      </c>
      <c r="L1009" s="2">
        <v>3.1365740740740742E-3</v>
      </c>
      <c r="M1009" s="2">
        <v>1.726851851851852E-2</v>
      </c>
      <c r="N1009" s="2">
        <v>3.5127314814814813E-2</v>
      </c>
      <c r="O1009" s="2">
        <v>0</v>
      </c>
      <c r="P1009" s="2">
        <v>0</v>
      </c>
    </row>
    <row r="1010" spans="1:16" x14ac:dyDescent="0.3">
      <c r="A1010" s="1">
        <v>45634.791689814818</v>
      </c>
      <c r="B1010" s="1">
        <v>45634.841481481482</v>
      </c>
      <c r="C1010">
        <v>68.23</v>
      </c>
      <c r="D1010" s="2">
        <v>4.7372685185185191E-2</v>
      </c>
      <c r="E1010">
        <v>15.249000000000001</v>
      </c>
      <c r="F1010" s="2">
        <v>3.1018518518518522E-3</v>
      </c>
      <c r="G1010">
        <v>13.41</v>
      </c>
      <c r="H1010">
        <v>15.85</v>
      </c>
      <c r="I1010">
        <v>175</v>
      </c>
      <c r="J1010">
        <v>148</v>
      </c>
      <c r="K1010">
        <v>1036</v>
      </c>
      <c r="L1010" s="2">
        <v>2.7199074074074074E-3</v>
      </c>
      <c r="M1010" s="2">
        <v>1.4780092592592595E-2</v>
      </c>
      <c r="N1010" s="2">
        <v>3.0277777777777778E-2</v>
      </c>
      <c r="O1010" s="2">
        <v>0</v>
      </c>
      <c r="P1010" s="2">
        <v>0</v>
      </c>
    </row>
    <row r="1011" spans="1:16" x14ac:dyDescent="0.3">
      <c r="A1011" s="1">
        <v>45636.741087962961</v>
      </c>
      <c r="B1011" s="1">
        <v>45636.795671296299</v>
      </c>
      <c r="C1011">
        <v>78.61</v>
      </c>
      <c r="D1011" s="2">
        <v>5.4583333333333338E-2</v>
      </c>
      <c r="E1011">
        <v>15.253</v>
      </c>
      <c r="F1011" s="2">
        <v>3.5763888888888894E-3</v>
      </c>
      <c r="G1011">
        <v>11.64</v>
      </c>
      <c r="H1011">
        <v>13.47</v>
      </c>
      <c r="I1011">
        <v>169</v>
      </c>
      <c r="J1011">
        <v>152</v>
      </c>
      <c r="K1011">
        <v>1105</v>
      </c>
      <c r="L1011" s="2">
        <v>3.4027777777777784E-3</v>
      </c>
      <c r="M1011" s="2">
        <v>1.7280092592592593E-2</v>
      </c>
      <c r="N1011" s="2">
        <v>3.4999999999999996E-2</v>
      </c>
      <c r="O1011" s="2">
        <v>0</v>
      </c>
      <c r="P1011" s="2">
        <v>0</v>
      </c>
    </row>
    <row r="1012" spans="1:16" x14ac:dyDescent="0.3">
      <c r="A1012" s="1">
        <v>45638.768645833334</v>
      </c>
      <c r="B1012" s="1">
        <v>45638.778993055559</v>
      </c>
      <c r="C1012">
        <v>14.91</v>
      </c>
      <c r="D1012" s="2">
        <v>1.0347222222222223E-2</v>
      </c>
      <c r="E1012">
        <v>2.2890000000000001</v>
      </c>
      <c r="F1012" s="2">
        <v>4.5138888888888893E-3</v>
      </c>
      <c r="G1012">
        <v>9.2100000000000009</v>
      </c>
      <c r="H1012">
        <v>16.489999999999998</v>
      </c>
      <c r="I1012">
        <v>143</v>
      </c>
      <c r="J1012">
        <v>127</v>
      </c>
      <c r="K1012">
        <v>175</v>
      </c>
      <c r="L1012" s="2">
        <v>4.5370370370370365E-3</v>
      </c>
      <c r="M1012" s="2">
        <v>0</v>
      </c>
      <c r="N1012" s="2">
        <v>0</v>
      </c>
      <c r="O1012" s="2">
        <v>0</v>
      </c>
      <c r="P1012" s="2">
        <v>0</v>
      </c>
    </row>
    <row r="1013" spans="1:16" x14ac:dyDescent="0.3">
      <c r="A1013" s="1">
        <v>45638.79515046296</v>
      </c>
      <c r="B1013" s="1">
        <v>45638.822002314817</v>
      </c>
      <c r="C1013">
        <v>38.68</v>
      </c>
      <c r="D1013" s="2">
        <v>2.6851851851851849E-2</v>
      </c>
      <c r="E1013">
        <v>9.6229999999999993</v>
      </c>
      <c r="F1013" s="2">
        <v>2.7893518518518519E-3</v>
      </c>
      <c r="G1013">
        <v>14.93</v>
      </c>
      <c r="H1013">
        <v>20.86</v>
      </c>
      <c r="I1013">
        <v>181</v>
      </c>
      <c r="J1013">
        <v>165</v>
      </c>
      <c r="K1013">
        <v>656</v>
      </c>
      <c r="L1013" s="2">
        <v>2.4305555555555556E-3</v>
      </c>
      <c r="M1013" s="2">
        <v>1.3842592592592594E-2</v>
      </c>
      <c r="N1013" s="2">
        <v>0</v>
      </c>
      <c r="O1013" s="2">
        <v>0</v>
      </c>
      <c r="P1013" s="2">
        <v>0</v>
      </c>
    </row>
    <row r="1014" spans="1:16" x14ac:dyDescent="0.3">
      <c r="A1014" s="1">
        <v>45640.942314814813</v>
      </c>
      <c r="B1014" s="1">
        <v>45640.992766203701</v>
      </c>
      <c r="C1014">
        <v>72.44</v>
      </c>
      <c r="D1014" s="2">
        <v>5.0300925925925923E-2</v>
      </c>
      <c r="E1014">
        <v>15.252000000000001</v>
      </c>
      <c r="F1014" s="2">
        <v>3.2870370370370367E-3</v>
      </c>
      <c r="G1014">
        <v>12.63</v>
      </c>
      <c r="H1014">
        <v>17.7</v>
      </c>
      <c r="I1014">
        <v>177</v>
      </c>
      <c r="J1014">
        <v>153</v>
      </c>
      <c r="K1014">
        <v>1074</v>
      </c>
      <c r="L1014" s="2">
        <v>2.9282407407407412E-3</v>
      </c>
      <c r="M1014" s="2">
        <v>1.5381944444444443E-2</v>
      </c>
      <c r="N1014" s="2">
        <v>3.1886574074074074E-2</v>
      </c>
      <c r="O1014" s="2">
        <v>0</v>
      </c>
      <c r="P1014" s="2">
        <v>0</v>
      </c>
    </row>
    <row r="1015" spans="1:16" x14ac:dyDescent="0.3">
      <c r="A1015" s="1">
        <v>45641.908043981479</v>
      </c>
      <c r="B1015" s="1">
        <v>45641.954560185186</v>
      </c>
      <c r="C1015">
        <v>65.23</v>
      </c>
      <c r="D1015" s="2">
        <v>4.5289351851851851E-2</v>
      </c>
      <c r="E1015">
        <v>12.212</v>
      </c>
      <c r="F1015" s="2">
        <v>3.7037037037037034E-3</v>
      </c>
      <c r="G1015">
        <v>11.23</v>
      </c>
      <c r="H1015">
        <v>14.51</v>
      </c>
      <c r="I1015">
        <v>157</v>
      </c>
      <c r="J1015">
        <v>137</v>
      </c>
      <c r="K1015">
        <v>865</v>
      </c>
      <c r="L1015" s="2">
        <v>3.5763888888888894E-3</v>
      </c>
      <c r="M1015" s="2">
        <v>1.8298611111111113E-2</v>
      </c>
      <c r="N1015" s="2">
        <v>3.6898148148148145E-2</v>
      </c>
      <c r="O1015" s="2">
        <v>0</v>
      </c>
      <c r="P1015" s="2">
        <v>0</v>
      </c>
    </row>
    <row r="1016" spans="1:16" x14ac:dyDescent="0.3">
      <c r="A1016" s="1">
        <v>45643.743831018517</v>
      </c>
      <c r="B1016" s="1">
        <v>45643.813333333332</v>
      </c>
      <c r="C1016">
        <v>95.22</v>
      </c>
      <c r="D1016" s="2">
        <v>6.6122685185185187E-2</v>
      </c>
      <c r="E1016">
        <v>20.100999999999999</v>
      </c>
      <c r="F1016" s="2">
        <v>3.2870370370370367E-3</v>
      </c>
      <c r="G1016">
        <v>12.67</v>
      </c>
      <c r="H1016">
        <v>20.05</v>
      </c>
      <c r="I1016">
        <v>174</v>
      </c>
      <c r="J1016">
        <v>149</v>
      </c>
      <c r="K1016">
        <v>1384</v>
      </c>
      <c r="L1016" s="2">
        <v>2.6967592592592594E-3</v>
      </c>
      <c r="M1016" s="2">
        <v>1.4664351851851852E-2</v>
      </c>
      <c r="N1016" s="2">
        <v>3.0752314814814816E-2</v>
      </c>
      <c r="O1016" s="2">
        <v>0</v>
      </c>
      <c r="P1016" s="2">
        <v>0</v>
      </c>
    </row>
    <row r="1017" spans="1:16" x14ac:dyDescent="0.3">
      <c r="A1017" s="1">
        <v>45645.957268518519</v>
      </c>
      <c r="B1017" s="1">
        <v>45645.9996875</v>
      </c>
      <c r="C1017">
        <v>61.09</v>
      </c>
      <c r="D1017" s="2">
        <v>4.2418981481481481E-2</v>
      </c>
      <c r="E1017">
        <v>13.257999999999999</v>
      </c>
      <c r="F1017" s="2">
        <v>3.1944444444444442E-3</v>
      </c>
      <c r="G1017">
        <v>13.02</v>
      </c>
      <c r="H1017">
        <v>18.14</v>
      </c>
      <c r="I1017">
        <v>172</v>
      </c>
      <c r="J1017">
        <v>154</v>
      </c>
      <c r="K1017">
        <v>927</v>
      </c>
      <c r="L1017" s="2">
        <v>2.9629629629629628E-3</v>
      </c>
      <c r="M1017" s="2">
        <v>1.5462962962962963E-2</v>
      </c>
      <c r="N1017" s="2">
        <v>3.1689814814814816E-2</v>
      </c>
      <c r="O1017" s="2">
        <v>0</v>
      </c>
      <c r="P1017" s="2">
        <v>0</v>
      </c>
    </row>
    <row r="1018" spans="1:16" x14ac:dyDescent="0.3">
      <c r="A1018" s="1">
        <v>45646.00273148148</v>
      </c>
      <c r="B1018" s="1">
        <v>45646.022291666668</v>
      </c>
      <c r="C1018">
        <v>28.17</v>
      </c>
      <c r="D1018" s="2">
        <v>1.9560185185185184E-2</v>
      </c>
      <c r="E1018">
        <v>5.5529999999999999</v>
      </c>
      <c r="F1018" s="2">
        <v>3.5185185185185185E-3</v>
      </c>
      <c r="G1018">
        <v>11.83</v>
      </c>
      <c r="H1018">
        <v>12.83</v>
      </c>
      <c r="I1018">
        <v>157</v>
      </c>
      <c r="J1018">
        <v>141</v>
      </c>
      <c r="K1018">
        <v>380</v>
      </c>
      <c r="L1018" s="2">
        <v>3.37962962962963E-3</v>
      </c>
      <c r="M1018" s="2">
        <v>1.7511574074074072E-2</v>
      </c>
      <c r="N1018" s="2">
        <v>0</v>
      </c>
      <c r="O1018" s="2">
        <v>0</v>
      </c>
      <c r="P1018" s="2">
        <v>0</v>
      </c>
    </row>
    <row r="1019" spans="1:16" x14ac:dyDescent="0.3">
      <c r="A1019" s="1">
        <v>45647.915358796294</v>
      </c>
      <c r="B1019" s="1">
        <v>45647.956469907411</v>
      </c>
      <c r="C1019">
        <v>59.16</v>
      </c>
      <c r="D1019" s="2">
        <v>4.1076388888888891E-2</v>
      </c>
      <c r="E1019">
        <v>11.112</v>
      </c>
      <c r="F1019" s="2">
        <v>3.6921296296296298E-3</v>
      </c>
      <c r="G1019">
        <v>11.27</v>
      </c>
      <c r="H1019">
        <v>12.43</v>
      </c>
      <c r="I1019">
        <v>156</v>
      </c>
      <c r="J1019">
        <v>138</v>
      </c>
      <c r="K1019">
        <v>775</v>
      </c>
      <c r="L1019" s="2">
        <v>3.5879629629629629E-3</v>
      </c>
      <c r="M1019" s="2">
        <v>1.8402777777777778E-2</v>
      </c>
      <c r="N1019" s="2">
        <v>3.6979166666666667E-2</v>
      </c>
      <c r="O1019" s="2">
        <v>0</v>
      </c>
      <c r="P1019" s="2">
        <v>0</v>
      </c>
    </row>
    <row r="1020" spans="1:16" x14ac:dyDescent="0.3">
      <c r="A1020" s="1">
        <v>45649.894490740742</v>
      </c>
      <c r="B1020" s="1">
        <v>45649.975752314815</v>
      </c>
      <c r="C1020">
        <v>104.72</v>
      </c>
      <c r="D1020" s="2">
        <v>7.2719907407407414E-2</v>
      </c>
      <c r="E1020">
        <v>22.224</v>
      </c>
      <c r="F1020" s="2">
        <v>3.2638888888888891E-3</v>
      </c>
      <c r="G1020">
        <v>12.73</v>
      </c>
      <c r="H1020">
        <v>16.93</v>
      </c>
      <c r="I1020">
        <v>164</v>
      </c>
      <c r="J1020">
        <v>147</v>
      </c>
      <c r="K1020">
        <v>1541</v>
      </c>
      <c r="L1020" s="2">
        <v>2.9398148148148148E-3</v>
      </c>
      <c r="M1020" s="2">
        <v>1.5474537037037038E-2</v>
      </c>
      <c r="N1020" s="2">
        <v>3.1851851851851853E-2</v>
      </c>
      <c r="O1020" s="2">
        <v>6.8703703703703697E-2</v>
      </c>
      <c r="P1020" s="2">
        <v>0</v>
      </c>
    </row>
    <row r="1021" spans="1:16" x14ac:dyDescent="0.3">
      <c r="A1021" s="1">
        <v>45651.920995370368</v>
      </c>
      <c r="B1021" s="1">
        <v>45651.999293981484</v>
      </c>
      <c r="C1021">
        <v>110.81</v>
      </c>
      <c r="D1021" s="2">
        <v>7.694444444444444E-2</v>
      </c>
      <c r="E1021">
        <v>22.25</v>
      </c>
      <c r="F1021" s="2">
        <v>3.4490740740740745E-3</v>
      </c>
      <c r="G1021">
        <v>12.05</v>
      </c>
      <c r="H1021">
        <v>13.84</v>
      </c>
      <c r="I1021">
        <v>163</v>
      </c>
      <c r="J1021">
        <v>144</v>
      </c>
      <c r="K1021">
        <v>1551</v>
      </c>
      <c r="L1021" s="2">
        <v>3.2291666666666666E-3</v>
      </c>
      <c r="M1021" s="2">
        <v>1.6736111111111111E-2</v>
      </c>
      <c r="N1021" s="2">
        <v>3.4189814814814819E-2</v>
      </c>
      <c r="O1021" s="2">
        <v>7.2939814814814818E-2</v>
      </c>
      <c r="P1021" s="2">
        <v>0</v>
      </c>
    </row>
    <row r="1022" spans="1:16" x14ac:dyDescent="0.3">
      <c r="A1022" s="1">
        <v>45653.483576388891</v>
      </c>
      <c r="B1022" s="1">
        <v>45653.521782407406</v>
      </c>
      <c r="C1022">
        <v>54.82</v>
      </c>
      <c r="D1022" s="2">
        <v>3.8067129629629631E-2</v>
      </c>
      <c r="E1022">
        <v>12.339</v>
      </c>
      <c r="F1022" s="2">
        <v>3.0787037037037037E-3</v>
      </c>
      <c r="G1022">
        <v>13.51</v>
      </c>
      <c r="H1022">
        <v>18.04</v>
      </c>
      <c r="I1022">
        <v>167</v>
      </c>
      <c r="J1022">
        <v>152</v>
      </c>
      <c r="K1022">
        <v>850</v>
      </c>
      <c r="L1022" s="2">
        <v>2.8356481481481479E-3</v>
      </c>
      <c r="M1022" s="2">
        <v>1.4849537037037036E-2</v>
      </c>
      <c r="N1022" s="2">
        <v>3.0439814814814819E-2</v>
      </c>
      <c r="O1022" s="2">
        <v>0</v>
      </c>
      <c r="P1022" s="2">
        <v>0</v>
      </c>
    </row>
    <row r="1023" spans="1:16" x14ac:dyDescent="0.3">
      <c r="A1023" s="1">
        <v>45654.941921296297</v>
      </c>
      <c r="B1023" s="1">
        <v>45654.987997685188</v>
      </c>
      <c r="C1023">
        <v>66.36</v>
      </c>
      <c r="D1023" s="2">
        <v>4.6076388888888882E-2</v>
      </c>
      <c r="E1023">
        <v>12.212</v>
      </c>
      <c r="F1023" s="2">
        <v>3.7731481481481483E-3</v>
      </c>
      <c r="G1023">
        <v>11.04</v>
      </c>
      <c r="H1023">
        <v>15.18</v>
      </c>
      <c r="I1023">
        <v>164</v>
      </c>
      <c r="J1023">
        <v>145</v>
      </c>
      <c r="K1023">
        <v>890</v>
      </c>
      <c r="L1023" s="2">
        <v>3.530092592592592E-3</v>
      </c>
      <c r="M1023" s="2">
        <v>1.8506944444444444E-2</v>
      </c>
      <c r="N1023" s="2">
        <v>3.7557870370370373E-2</v>
      </c>
      <c r="O1023" s="2">
        <v>0</v>
      </c>
      <c r="P1023" s="2">
        <v>0</v>
      </c>
    </row>
    <row r="1024" spans="1:16" x14ac:dyDescent="0.3">
      <c r="A1024" s="1">
        <v>45658.476006944446</v>
      </c>
      <c r="B1024" s="1">
        <v>45658.533877314818</v>
      </c>
      <c r="C1024">
        <v>83.35</v>
      </c>
      <c r="D1024" s="2">
        <v>5.7870370370370371E-2</v>
      </c>
      <c r="E1024">
        <v>16.253</v>
      </c>
      <c r="F1024" s="2">
        <v>3.5532407407407405E-3</v>
      </c>
      <c r="G1024">
        <v>11.7</v>
      </c>
      <c r="H1024">
        <v>13.4</v>
      </c>
      <c r="I1024">
        <v>162</v>
      </c>
      <c r="J1024">
        <v>140</v>
      </c>
      <c r="K1024">
        <v>1140</v>
      </c>
      <c r="L1024" s="2">
        <v>3.37962962962963E-3</v>
      </c>
      <c r="M1024" s="2">
        <v>1.7245370370370369E-2</v>
      </c>
      <c r="N1024" s="2">
        <v>3.4953703703703702E-2</v>
      </c>
      <c r="O1024" s="2">
        <v>0</v>
      </c>
      <c r="P1024" s="2">
        <v>0</v>
      </c>
    </row>
    <row r="1025" spans="1:16" x14ac:dyDescent="0.3">
      <c r="A1025" s="1">
        <v>45660.298668981479</v>
      </c>
      <c r="B1025" s="1">
        <v>45660.421793981484</v>
      </c>
      <c r="C1025">
        <v>177.31</v>
      </c>
      <c r="D1025" s="2">
        <v>0.123125</v>
      </c>
      <c r="E1025">
        <v>41.930999999999997</v>
      </c>
      <c r="F1025" s="2">
        <v>2.9050925925925928E-3</v>
      </c>
      <c r="G1025">
        <v>14.29</v>
      </c>
      <c r="H1025">
        <v>19.79</v>
      </c>
      <c r="I1025">
        <v>184</v>
      </c>
      <c r="J1025">
        <v>169</v>
      </c>
      <c r="K1025">
        <v>2955</v>
      </c>
      <c r="L1025" s="2">
        <v>2.7083333333333334E-3</v>
      </c>
      <c r="M1025" s="2">
        <v>1.3958333333333335E-2</v>
      </c>
      <c r="N1025" s="2">
        <v>2.8067129629629626E-2</v>
      </c>
      <c r="O1025" s="2">
        <v>6.0092592592592593E-2</v>
      </c>
      <c r="P1025" s="2">
        <v>0.12394675925925926</v>
      </c>
    </row>
    <row r="1026" spans="1:16" x14ac:dyDescent="0.3">
      <c r="A1026" s="1">
        <v>45662.586585648147</v>
      </c>
      <c r="B1026" s="1">
        <v>45662.626006944447</v>
      </c>
      <c r="C1026">
        <v>56.78</v>
      </c>
      <c r="D1026" s="2">
        <v>3.9421296296296295E-2</v>
      </c>
      <c r="E1026">
        <v>10.503</v>
      </c>
      <c r="F1026" s="2">
        <v>3.7500000000000003E-3</v>
      </c>
      <c r="G1026">
        <v>11.1</v>
      </c>
      <c r="H1026">
        <v>12.97</v>
      </c>
      <c r="I1026">
        <v>167</v>
      </c>
      <c r="J1026">
        <v>145</v>
      </c>
      <c r="K1026">
        <v>768</v>
      </c>
      <c r="L1026" s="2">
        <v>3.5879629629629629E-3</v>
      </c>
      <c r="M1026" s="2">
        <v>1.8379629629629628E-2</v>
      </c>
      <c r="N1026" s="2">
        <v>3.7430555555555557E-2</v>
      </c>
      <c r="O1026" s="2">
        <v>0</v>
      </c>
      <c r="P1026" s="2">
        <v>0</v>
      </c>
    </row>
    <row r="1027" spans="1:16" x14ac:dyDescent="0.3">
      <c r="A1027" s="1">
        <v>45664.941423611112</v>
      </c>
      <c r="B1027" s="1">
        <v>45664.984571759262</v>
      </c>
      <c r="C1027">
        <v>62.02</v>
      </c>
      <c r="D1027" s="2">
        <v>4.3067129629629629E-2</v>
      </c>
      <c r="E1027">
        <v>13.055999999999999</v>
      </c>
      <c r="F1027" s="2">
        <v>3.2986111111111111E-3</v>
      </c>
      <c r="G1027">
        <v>12.63</v>
      </c>
      <c r="H1027">
        <v>15.79</v>
      </c>
      <c r="I1027">
        <v>176</v>
      </c>
      <c r="J1027">
        <v>154</v>
      </c>
      <c r="K1027">
        <v>904</v>
      </c>
      <c r="L1027" s="2">
        <v>3.0555555555555557E-3</v>
      </c>
      <c r="M1027" s="2">
        <v>1.6145833333333335E-2</v>
      </c>
      <c r="N1027" s="2">
        <v>3.27662037037037E-2</v>
      </c>
      <c r="O1027" s="2">
        <v>0</v>
      </c>
      <c r="P1027" s="2">
        <v>0</v>
      </c>
    </row>
    <row r="1028" spans="1:16" x14ac:dyDescent="0.3">
      <c r="A1028" s="1">
        <v>45666.974097222221</v>
      </c>
      <c r="B1028" s="1">
        <v>45666.999189814815</v>
      </c>
      <c r="C1028">
        <v>36.130000000000003</v>
      </c>
      <c r="D1028" s="2">
        <v>2.5092592592592593E-2</v>
      </c>
      <c r="E1028">
        <v>7.7549999999999999</v>
      </c>
      <c r="F1028" s="2">
        <v>3.2291666666666666E-3</v>
      </c>
      <c r="G1028">
        <v>12.88</v>
      </c>
      <c r="H1028">
        <v>14.48</v>
      </c>
      <c r="I1028">
        <v>169</v>
      </c>
      <c r="J1028">
        <v>153</v>
      </c>
      <c r="K1028">
        <v>548</v>
      </c>
      <c r="L1028" s="2">
        <v>3.0092592592592588E-3</v>
      </c>
      <c r="M1028" s="2">
        <v>1.6006944444444445E-2</v>
      </c>
      <c r="N1028" s="2">
        <v>0</v>
      </c>
      <c r="O1028" s="2">
        <v>0</v>
      </c>
      <c r="P1028" s="2">
        <v>0</v>
      </c>
    </row>
    <row r="1029" spans="1:16" x14ac:dyDescent="0.3">
      <c r="A1029" s="1">
        <v>45667.003692129627</v>
      </c>
      <c r="B1029" s="1">
        <v>45667.039583333331</v>
      </c>
      <c r="C1029">
        <v>51.69</v>
      </c>
      <c r="D1029" s="2">
        <v>3.5891203703703703E-2</v>
      </c>
      <c r="E1029">
        <v>10.101000000000001</v>
      </c>
      <c r="F1029" s="2">
        <v>3.5532407407407405E-3</v>
      </c>
      <c r="G1029">
        <v>11.72</v>
      </c>
      <c r="H1029">
        <v>13.5</v>
      </c>
      <c r="I1029">
        <v>162</v>
      </c>
      <c r="J1029">
        <v>145</v>
      </c>
      <c r="K1029">
        <v>719</v>
      </c>
      <c r="L1029" s="2">
        <v>3.414351851851852E-3</v>
      </c>
      <c r="M1029" s="2">
        <v>1.7523148148148149E-2</v>
      </c>
      <c r="N1029" s="2">
        <v>3.5520833333333328E-2</v>
      </c>
      <c r="O1029" s="2">
        <v>0</v>
      </c>
      <c r="P1029" s="2">
        <v>0</v>
      </c>
    </row>
    <row r="1030" spans="1:16" x14ac:dyDescent="0.3">
      <c r="A1030" s="1">
        <v>45668.851747685185</v>
      </c>
      <c r="B1030" s="1">
        <v>45668.876504629632</v>
      </c>
      <c r="C1030">
        <v>32.51</v>
      </c>
      <c r="D1030" s="2">
        <v>2.2569444444444444E-2</v>
      </c>
      <c r="E1030">
        <v>6.0990000000000002</v>
      </c>
      <c r="F1030" s="2">
        <v>3.6921296296296298E-3</v>
      </c>
      <c r="G1030">
        <v>11.26</v>
      </c>
      <c r="H1030">
        <v>12.53</v>
      </c>
      <c r="I1030">
        <v>158</v>
      </c>
      <c r="J1030">
        <v>144</v>
      </c>
      <c r="K1030">
        <v>446</v>
      </c>
      <c r="L1030" s="2">
        <v>3.6111111111111114E-3</v>
      </c>
      <c r="M1030" s="2">
        <v>1.8483796296296297E-2</v>
      </c>
      <c r="N1030" s="2">
        <v>0</v>
      </c>
      <c r="O1030" s="2">
        <v>0</v>
      </c>
      <c r="P1030" s="2">
        <v>0</v>
      </c>
    </row>
    <row r="1031" spans="1:16" x14ac:dyDescent="0.3">
      <c r="A1031" s="1">
        <v>45669.88318287037</v>
      </c>
      <c r="B1031" s="1">
        <v>45669.929340277777</v>
      </c>
      <c r="C1031">
        <v>66.47</v>
      </c>
      <c r="D1031" s="2">
        <v>4.6157407407407404E-2</v>
      </c>
      <c r="E1031">
        <v>14.255000000000001</v>
      </c>
      <c r="F1031" s="2">
        <v>3.2291666666666666E-3</v>
      </c>
      <c r="G1031">
        <v>12.87</v>
      </c>
      <c r="H1031">
        <v>17.84</v>
      </c>
      <c r="I1031">
        <v>160</v>
      </c>
      <c r="J1031">
        <v>143</v>
      </c>
      <c r="K1031">
        <v>982</v>
      </c>
      <c r="L1031" s="2">
        <v>2.9398148148148148E-3</v>
      </c>
      <c r="M1031" s="2">
        <v>1.5694444444444445E-2</v>
      </c>
      <c r="N1031" s="2">
        <v>3.229166666666667E-2</v>
      </c>
      <c r="O1031" s="2">
        <v>0</v>
      </c>
      <c r="P1031" s="2">
        <v>0</v>
      </c>
    </row>
    <row r="1032" spans="1:16" x14ac:dyDescent="0.3">
      <c r="A1032" s="1">
        <v>45671.785393518519</v>
      </c>
      <c r="B1032" s="1">
        <v>45671.833333333336</v>
      </c>
      <c r="C1032">
        <v>69.040000000000006</v>
      </c>
      <c r="D1032" s="2">
        <v>4.7939814814814817E-2</v>
      </c>
      <c r="E1032">
        <v>15.502000000000001</v>
      </c>
      <c r="F1032" s="2">
        <v>3.0902777777777782E-3</v>
      </c>
      <c r="G1032">
        <v>13.47</v>
      </c>
      <c r="H1032">
        <v>19.79</v>
      </c>
      <c r="I1032">
        <v>169</v>
      </c>
      <c r="J1032">
        <v>152</v>
      </c>
      <c r="K1032">
        <v>1056</v>
      </c>
      <c r="L1032" s="2">
        <v>2.6967592592592594E-3</v>
      </c>
      <c r="M1032" s="2">
        <v>1.4363425925925925E-2</v>
      </c>
      <c r="N1032" s="2">
        <v>2.9270833333333333E-2</v>
      </c>
      <c r="O1032" s="2">
        <v>0</v>
      </c>
      <c r="P1032" s="2">
        <v>0</v>
      </c>
    </row>
    <row r="1033" spans="1:16" x14ac:dyDescent="0.3">
      <c r="A1033" s="1">
        <v>45673.918946759259</v>
      </c>
      <c r="B1033" s="1">
        <v>45673.964930555558</v>
      </c>
      <c r="C1033">
        <v>66.23</v>
      </c>
      <c r="D1033" s="2">
        <v>4.5983796296296293E-2</v>
      </c>
      <c r="E1033">
        <v>13.255000000000001</v>
      </c>
      <c r="F1033" s="2">
        <v>3.4606481481481485E-3</v>
      </c>
      <c r="G1033">
        <v>12</v>
      </c>
      <c r="H1033">
        <v>20.12</v>
      </c>
      <c r="I1033">
        <v>153</v>
      </c>
      <c r="J1033">
        <v>138</v>
      </c>
      <c r="K1033">
        <v>808</v>
      </c>
      <c r="L1033" s="2">
        <v>2.9050925925925928E-3</v>
      </c>
      <c r="M1033" s="2">
        <v>1.6400462962962964E-2</v>
      </c>
      <c r="N1033" s="2">
        <v>3.4293981481481481E-2</v>
      </c>
      <c r="O1033" s="2">
        <v>0</v>
      </c>
      <c r="P1033" s="2">
        <v>0</v>
      </c>
    </row>
    <row r="1034" spans="1:16" x14ac:dyDescent="0.3">
      <c r="A1034" s="1">
        <v>45674.65053240741</v>
      </c>
      <c r="B1034" s="1">
        <v>45674.681851851848</v>
      </c>
      <c r="C1034">
        <v>45.02</v>
      </c>
      <c r="D1034" s="2">
        <v>3.1261574074074074E-2</v>
      </c>
      <c r="E1034">
        <v>10.053000000000001</v>
      </c>
      <c r="F1034" s="2">
        <v>3.1018518518518522E-3</v>
      </c>
      <c r="G1034">
        <v>13.4</v>
      </c>
      <c r="H1034">
        <v>15.48</v>
      </c>
      <c r="I1034">
        <v>170</v>
      </c>
      <c r="J1034">
        <v>152</v>
      </c>
      <c r="K1034">
        <v>679</v>
      </c>
      <c r="L1034" s="2">
        <v>2.8935185185185188E-3</v>
      </c>
      <c r="M1034" s="2">
        <v>1.5428240740740741E-2</v>
      </c>
      <c r="N1034" s="2">
        <v>3.1122685185185187E-2</v>
      </c>
      <c r="O1034" s="2">
        <v>0</v>
      </c>
      <c r="P1034" s="2">
        <v>0</v>
      </c>
    </row>
    <row r="1035" spans="1:16" x14ac:dyDescent="0.3">
      <c r="A1035" s="1">
        <v>45675.844907407409</v>
      </c>
      <c r="B1035" s="1">
        <v>45675.888506944444</v>
      </c>
      <c r="C1035">
        <v>62.78</v>
      </c>
      <c r="D1035" s="2">
        <v>4.3599537037037034E-2</v>
      </c>
      <c r="E1035">
        <v>12.215</v>
      </c>
      <c r="F1035" s="2">
        <v>3.5648148148148154E-3</v>
      </c>
      <c r="G1035">
        <v>11.67</v>
      </c>
      <c r="H1035">
        <v>14.44</v>
      </c>
      <c r="I1035">
        <v>169</v>
      </c>
      <c r="J1035">
        <v>154</v>
      </c>
      <c r="K1035">
        <v>882</v>
      </c>
      <c r="L1035" s="2">
        <v>3.4490740740740745E-3</v>
      </c>
      <c r="M1035" s="2">
        <v>1.7708333333333333E-2</v>
      </c>
      <c r="N1035" s="2">
        <v>3.560185185185185E-2</v>
      </c>
      <c r="O1035" s="2">
        <v>0</v>
      </c>
      <c r="P1035" s="2">
        <v>0</v>
      </c>
    </row>
    <row r="1036" spans="1:16" x14ac:dyDescent="0.3">
      <c r="A1036" s="1">
        <v>45678.599247685182</v>
      </c>
      <c r="B1036" s="1">
        <v>45678.676898148151</v>
      </c>
      <c r="C1036">
        <v>109.18</v>
      </c>
      <c r="D1036" s="2">
        <v>7.5810185185185189E-2</v>
      </c>
      <c r="E1036">
        <v>21.253</v>
      </c>
      <c r="F1036" s="2">
        <v>3.5648148148148154E-3</v>
      </c>
      <c r="G1036">
        <v>11.68</v>
      </c>
      <c r="H1036">
        <v>14.04</v>
      </c>
      <c r="I1036">
        <v>169</v>
      </c>
      <c r="J1036">
        <v>146</v>
      </c>
      <c r="K1036">
        <v>1500</v>
      </c>
      <c r="L1036" s="2">
        <v>3.2754629629629631E-3</v>
      </c>
      <c r="M1036" s="2">
        <v>1.681712962962963E-2</v>
      </c>
      <c r="N1036" s="2">
        <v>3.4490740740740738E-2</v>
      </c>
      <c r="O1036" s="2">
        <v>7.5231481481481483E-2</v>
      </c>
      <c r="P1036" s="2">
        <v>0</v>
      </c>
    </row>
    <row r="1037" spans="1:16" x14ac:dyDescent="0.3">
      <c r="A1037" s="1">
        <v>45681.423009259262</v>
      </c>
      <c r="B1037" s="1">
        <v>45681.513969907406</v>
      </c>
      <c r="C1037">
        <v>117.13</v>
      </c>
      <c r="D1037" s="2">
        <v>8.1331018518518525E-2</v>
      </c>
      <c r="E1037">
        <v>25.253</v>
      </c>
      <c r="F1037" s="2">
        <v>3.2175925925925926E-3</v>
      </c>
      <c r="G1037">
        <v>12.94</v>
      </c>
      <c r="H1037">
        <v>16.36</v>
      </c>
      <c r="I1037">
        <v>167</v>
      </c>
      <c r="J1037">
        <v>151</v>
      </c>
      <c r="K1037">
        <v>1745</v>
      </c>
      <c r="L1037" s="2">
        <v>2.8240740740740739E-3</v>
      </c>
      <c r="M1037" s="2">
        <v>1.5532407407407406E-2</v>
      </c>
      <c r="N1037" s="2">
        <v>3.1678240740740743E-2</v>
      </c>
      <c r="O1037" s="2">
        <v>6.7638888888888887E-2</v>
      </c>
      <c r="P1037" s="2">
        <v>0</v>
      </c>
    </row>
    <row r="1038" spans="1:16" x14ac:dyDescent="0.3">
      <c r="A1038" s="1">
        <v>45682.905312499999</v>
      </c>
      <c r="B1038" s="1">
        <v>45682.948657407411</v>
      </c>
      <c r="C1038">
        <v>61.46</v>
      </c>
      <c r="D1038" s="2">
        <v>4.2673611111111114E-2</v>
      </c>
      <c r="E1038">
        <v>11.504</v>
      </c>
      <c r="F1038" s="2">
        <v>3.7037037037037034E-3</v>
      </c>
      <c r="G1038">
        <v>11.23</v>
      </c>
      <c r="H1038">
        <v>13.13</v>
      </c>
      <c r="I1038">
        <v>167</v>
      </c>
      <c r="J1038">
        <v>147</v>
      </c>
      <c r="K1038">
        <v>824</v>
      </c>
      <c r="L1038" s="2">
        <v>3.3680555555555551E-3</v>
      </c>
      <c r="M1038" s="2">
        <v>1.8240740740740741E-2</v>
      </c>
      <c r="N1038" s="2">
        <v>3.7106481481481483E-2</v>
      </c>
      <c r="O1038" s="2">
        <v>0</v>
      </c>
      <c r="P1038" s="2">
        <v>0</v>
      </c>
    </row>
    <row r="1039" spans="1:16" x14ac:dyDescent="0.3">
      <c r="A1039" s="1">
        <v>45684.771261574075</v>
      </c>
      <c r="B1039" s="1">
        <v>45684.812951388885</v>
      </c>
      <c r="C1039">
        <v>60.04</v>
      </c>
      <c r="D1039" s="2">
        <v>4.1689814814814818E-2</v>
      </c>
      <c r="E1039">
        <v>13.507</v>
      </c>
      <c r="F1039" s="2">
        <v>3.0787037037037037E-3</v>
      </c>
      <c r="G1039">
        <v>13.5</v>
      </c>
      <c r="H1039">
        <v>15.28</v>
      </c>
      <c r="I1039">
        <v>170</v>
      </c>
      <c r="J1039">
        <v>155</v>
      </c>
      <c r="K1039">
        <v>945</v>
      </c>
      <c r="L1039" s="2">
        <v>2.7893518518518519E-3</v>
      </c>
      <c r="M1039" s="2">
        <v>1.4930555555555556E-2</v>
      </c>
      <c r="N1039" s="2">
        <v>3.0231481481481481E-2</v>
      </c>
      <c r="O1039" s="2">
        <v>0</v>
      </c>
      <c r="P1039" s="2">
        <v>0</v>
      </c>
    </row>
    <row r="1040" spans="1:16" x14ac:dyDescent="0.3">
      <c r="A1040" s="1">
        <v>45685.786863425928</v>
      </c>
      <c r="B1040" s="1">
        <v>45685.831145833334</v>
      </c>
      <c r="C1040">
        <v>61.86</v>
      </c>
      <c r="D1040" s="2">
        <v>4.2951388888888886E-2</v>
      </c>
      <c r="E1040">
        <v>13.103999999999999</v>
      </c>
      <c r="F1040" s="2">
        <v>3.2754629629629631E-3</v>
      </c>
      <c r="G1040">
        <v>12.71</v>
      </c>
      <c r="H1040">
        <v>18.14</v>
      </c>
      <c r="I1040">
        <v>168</v>
      </c>
      <c r="J1040">
        <v>148</v>
      </c>
      <c r="K1040">
        <v>892</v>
      </c>
      <c r="L1040" s="2">
        <v>3.0092592592592588E-3</v>
      </c>
      <c r="M1040" s="2">
        <v>1.6053240740740739E-2</v>
      </c>
      <c r="N1040" s="2">
        <v>3.24537037037037E-2</v>
      </c>
      <c r="O1040" s="2">
        <v>0</v>
      </c>
      <c r="P1040" s="2">
        <v>0</v>
      </c>
    </row>
    <row r="1041" spans="1:16" x14ac:dyDescent="0.3">
      <c r="A1041" s="1">
        <v>45687.773784722223</v>
      </c>
      <c r="B1041" s="1">
        <v>45687.811828703707</v>
      </c>
      <c r="C1041">
        <v>54.79</v>
      </c>
      <c r="D1041" s="2">
        <v>3.8043981481481477E-2</v>
      </c>
      <c r="E1041">
        <v>11.112</v>
      </c>
      <c r="F1041" s="2">
        <v>3.414351851851852E-3</v>
      </c>
      <c r="G1041">
        <v>12.17</v>
      </c>
      <c r="H1041">
        <v>16.66</v>
      </c>
      <c r="I1041">
        <v>163</v>
      </c>
      <c r="J1041">
        <v>147</v>
      </c>
      <c r="K1041">
        <v>781</v>
      </c>
      <c r="L1041" s="2">
        <v>3.1481481481481482E-3</v>
      </c>
      <c r="M1041" s="2">
        <v>1.6828703703703703E-2</v>
      </c>
      <c r="N1041" s="2">
        <v>3.4143518518518517E-2</v>
      </c>
      <c r="O1041" s="2">
        <v>0</v>
      </c>
      <c r="P1041" s="2">
        <v>0</v>
      </c>
    </row>
    <row r="1042" spans="1:16" x14ac:dyDescent="0.3">
      <c r="A1042" s="1">
        <v>45688.600601851853</v>
      </c>
      <c r="B1042" s="1">
        <v>45688.651122685187</v>
      </c>
      <c r="C1042">
        <v>72.75</v>
      </c>
      <c r="D1042" s="2">
        <v>5.0520833333333327E-2</v>
      </c>
      <c r="E1042">
        <v>15.353999999999999</v>
      </c>
      <c r="F1042" s="2">
        <v>3.2870370370370367E-3</v>
      </c>
      <c r="G1042">
        <v>12.66</v>
      </c>
      <c r="H1042">
        <v>15.15</v>
      </c>
      <c r="I1042">
        <v>160</v>
      </c>
      <c r="J1042">
        <v>145</v>
      </c>
      <c r="K1042">
        <v>1044</v>
      </c>
      <c r="L1042" s="2">
        <v>3.1249999999999997E-3</v>
      </c>
      <c r="M1042" s="2">
        <v>1.6018518518518519E-2</v>
      </c>
      <c r="N1042" s="2">
        <v>3.2314814814814817E-2</v>
      </c>
      <c r="O1042" s="2">
        <v>0</v>
      </c>
      <c r="P1042" s="2">
        <v>0</v>
      </c>
    </row>
    <row r="1043" spans="1:16" x14ac:dyDescent="0.3">
      <c r="A1043" s="1">
        <v>45690.469814814816</v>
      </c>
      <c r="B1043" s="1">
        <v>45690.557951388888</v>
      </c>
      <c r="C1043">
        <v>123.54</v>
      </c>
      <c r="D1043" s="2">
        <v>8.5787037037037037E-2</v>
      </c>
      <c r="E1043">
        <v>26.248999999999999</v>
      </c>
      <c r="F1043" s="2">
        <v>3.2638888888888891E-3</v>
      </c>
      <c r="G1043">
        <v>12.75</v>
      </c>
      <c r="H1043">
        <v>17.940000000000001</v>
      </c>
      <c r="I1043">
        <v>170</v>
      </c>
      <c r="J1043">
        <v>150</v>
      </c>
      <c r="K1043">
        <v>1795</v>
      </c>
      <c r="L1043" s="2">
        <v>2.8472222222222219E-3</v>
      </c>
      <c r="M1043" s="2">
        <v>1.5196759259259259E-2</v>
      </c>
      <c r="N1043" s="2">
        <v>3.1284722222222221E-2</v>
      </c>
      <c r="O1043" s="2">
        <v>6.7951388888888895E-2</v>
      </c>
      <c r="P1043" s="2">
        <v>0</v>
      </c>
    </row>
    <row r="1044" spans="1:16" x14ac:dyDescent="0.3">
      <c r="A1044" s="1">
        <v>45695.381886574076</v>
      </c>
      <c r="B1044" s="1">
        <v>45695.467349537037</v>
      </c>
      <c r="C1044">
        <v>121.61</v>
      </c>
      <c r="D1044" s="2">
        <v>8.4444444444444447E-2</v>
      </c>
      <c r="E1044">
        <v>25.504999999999999</v>
      </c>
      <c r="F1044" s="2">
        <v>3.3101851851851851E-3</v>
      </c>
      <c r="G1044">
        <v>12.58</v>
      </c>
      <c r="H1044">
        <v>14.11</v>
      </c>
      <c r="I1044">
        <v>174</v>
      </c>
      <c r="J1044">
        <v>155</v>
      </c>
      <c r="K1044">
        <v>1794</v>
      </c>
      <c r="L1044" s="2">
        <v>3.0787037037037037E-3</v>
      </c>
      <c r="M1044" s="2">
        <v>1.5856481481481482E-2</v>
      </c>
      <c r="N1044" s="2">
        <v>3.2152777777777773E-2</v>
      </c>
      <c r="O1044" s="2">
        <v>6.9212962962962962E-2</v>
      </c>
      <c r="P1044" s="2">
        <v>0</v>
      </c>
    </row>
    <row r="1045" spans="1:16" x14ac:dyDescent="0.3">
      <c r="A1045" s="1">
        <v>45696.941504629627</v>
      </c>
      <c r="B1045" s="1">
        <v>45696.979305555556</v>
      </c>
      <c r="C1045">
        <v>54.44</v>
      </c>
      <c r="D1045" s="2">
        <v>3.7800925925925925E-2</v>
      </c>
      <c r="E1045">
        <v>10.502000000000001</v>
      </c>
      <c r="F1045" s="2">
        <v>3.5879629629629629E-3</v>
      </c>
      <c r="G1045">
        <v>11.58</v>
      </c>
      <c r="H1045">
        <v>12.87</v>
      </c>
      <c r="I1045">
        <v>175</v>
      </c>
      <c r="J1045">
        <v>155</v>
      </c>
      <c r="K1045">
        <v>778</v>
      </c>
      <c r="L1045" s="2">
        <v>3.3101851851851851E-3</v>
      </c>
      <c r="M1045" s="2">
        <v>1.7800925925925925E-2</v>
      </c>
      <c r="N1045" s="2">
        <v>3.5960648148148151E-2</v>
      </c>
      <c r="O1045" s="2">
        <v>0</v>
      </c>
      <c r="P1045" s="2">
        <v>0</v>
      </c>
    </row>
    <row r="1046" spans="1:16" x14ac:dyDescent="0.3">
      <c r="A1046" s="1">
        <v>45698.474050925928</v>
      </c>
      <c r="B1046" s="1">
        <v>45698.510416666664</v>
      </c>
      <c r="C1046">
        <v>52.38</v>
      </c>
      <c r="D1046" s="2">
        <v>3.636574074074074E-2</v>
      </c>
      <c r="E1046">
        <v>12.218</v>
      </c>
      <c r="F1046" s="2">
        <v>2.9745370370370373E-3</v>
      </c>
      <c r="G1046">
        <v>14</v>
      </c>
      <c r="H1046">
        <v>16.760000000000002</v>
      </c>
      <c r="I1046">
        <v>170</v>
      </c>
      <c r="J1046">
        <v>153</v>
      </c>
      <c r="K1046">
        <v>824</v>
      </c>
      <c r="L1046" s="2">
        <v>2.8009259259259259E-3</v>
      </c>
      <c r="M1046" s="2">
        <v>1.4386574074074072E-2</v>
      </c>
      <c r="N1046" s="2">
        <v>2.9259259259259259E-2</v>
      </c>
      <c r="O1046" s="2">
        <v>0</v>
      </c>
      <c r="P1046" s="2">
        <v>0</v>
      </c>
    </row>
    <row r="1047" spans="1:16" x14ac:dyDescent="0.3">
      <c r="A1047" s="1">
        <v>45699.841145833336</v>
      </c>
      <c r="B1047" s="1">
        <v>45699.884351851855</v>
      </c>
      <c r="C1047">
        <v>62.22</v>
      </c>
      <c r="D1047" s="2">
        <v>4.3206018518518519E-2</v>
      </c>
      <c r="E1047">
        <v>12.502000000000001</v>
      </c>
      <c r="F1047" s="2">
        <v>3.4490740740740745E-3</v>
      </c>
      <c r="G1047">
        <v>12.06</v>
      </c>
      <c r="H1047">
        <v>13.44</v>
      </c>
      <c r="I1047">
        <v>155</v>
      </c>
      <c r="J1047">
        <v>141</v>
      </c>
      <c r="K1047">
        <v>857</v>
      </c>
      <c r="L1047" s="2">
        <v>3.3217592592592591E-3</v>
      </c>
      <c r="M1047" s="2">
        <v>1.7187499999999998E-2</v>
      </c>
      <c r="N1047" s="2">
        <v>3.4548611111111113E-2</v>
      </c>
      <c r="O1047" s="2">
        <v>0</v>
      </c>
      <c r="P1047" s="2">
        <v>0</v>
      </c>
    </row>
    <row r="1048" spans="1:16" x14ac:dyDescent="0.3">
      <c r="A1048" s="1">
        <v>45702.546747685185</v>
      </c>
      <c r="B1048" s="1">
        <v>45702.633958333332</v>
      </c>
      <c r="C1048">
        <v>123.01</v>
      </c>
      <c r="D1048" s="2">
        <v>8.5416666666666655E-2</v>
      </c>
      <c r="E1048">
        <v>26.248000000000001</v>
      </c>
      <c r="F1048" s="2">
        <v>3.2523148148148151E-3</v>
      </c>
      <c r="G1048">
        <v>12.8</v>
      </c>
      <c r="H1048">
        <v>15.72</v>
      </c>
      <c r="I1048">
        <v>176</v>
      </c>
      <c r="J1048">
        <v>149</v>
      </c>
      <c r="K1048">
        <v>1780</v>
      </c>
      <c r="L1048" s="2">
        <v>2.8240740740740739E-3</v>
      </c>
      <c r="M1048" s="2">
        <v>1.4363425925925925E-2</v>
      </c>
      <c r="N1048" s="2">
        <v>2.97337962962963E-2</v>
      </c>
      <c r="O1048" s="2">
        <v>6.7013888888888887E-2</v>
      </c>
      <c r="P1048" s="2">
        <v>0</v>
      </c>
    </row>
    <row r="1049" spans="1:16" x14ac:dyDescent="0.3">
      <c r="A1049" s="1">
        <v>45703.941747685189</v>
      </c>
      <c r="B1049" s="1">
        <v>45703.983437499999</v>
      </c>
      <c r="C1049">
        <v>60.04</v>
      </c>
      <c r="D1049" s="2">
        <v>4.1689814814814818E-2</v>
      </c>
      <c r="E1049">
        <v>11.117000000000001</v>
      </c>
      <c r="F1049" s="2">
        <v>3.7500000000000003E-3</v>
      </c>
      <c r="G1049">
        <v>11.11</v>
      </c>
      <c r="H1049">
        <v>12.93</v>
      </c>
      <c r="I1049">
        <v>165</v>
      </c>
      <c r="J1049">
        <v>144</v>
      </c>
      <c r="K1049">
        <v>804</v>
      </c>
      <c r="L1049" s="2">
        <v>3.5532407407407405E-3</v>
      </c>
      <c r="M1049" s="2">
        <v>1.8576388888888889E-2</v>
      </c>
      <c r="N1049" s="2">
        <v>3.7581018518518521E-2</v>
      </c>
      <c r="O1049" s="2">
        <v>0</v>
      </c>
      <c r="P1049" s="2">
        <v>0</v>
      </c>
    </row>
    <row r="1050" spans="1:16" x14ac:dyDescent="0.3">
      <c r="A1050" s="1">
        <v>45706.40697916667</v>
      </c>
      <c r="B1050" s="1">
        <v>45706.497546296298</v>
      </c>
      <c r="C1050">
        <v>128.94</v>
      </c>
      <c r="D1050" s="2">
        <v>8.953703703703704E-2</v>
      </c>
      <c r="E1050">
        <v>25.506</v>
      </c>
      <c r="F1050" s="2">
        <v>3.5069444444444445E-3</v>
      </c>
      <c r="G1050">
        <v>11.87</v>
      </c>
      <c r="H1050">
        <v>13.3</v>
      </c>
      <c r="I1050">
        <v>162</v>
      </c>
      <c r="J1050">
        <v>139</v>
      </c>
      <c r="K1050">
        <v>1757</v>
      </c>
      <c r="L1050" s="2">
        <v>3.3333333333333335E-3</v>
      </c>
      <c r="M1050" s="2">
        <v>1.7222222222222222E-2</v>
      </c>
      <c r="N1050" s="2">
        <v>3.4745370370370371E-2</v>
      </c>
      <c r="O1050" s="2">
        <v>7.3807870370370371E-2</v>
      </c>
      <c r="P1050" s="2">
        <v>0</v>
      </c>
    </row>
    <row r="1051" spans="1:16" x14ac:dyDescent="0.3">
      <c r="A1051" s="1">
        <v>45709.638796296298</v>
      </c>
      <c r="B1051" s="1">
        <v>45709.683310185188</v>
      </c>
      <c r="C1051">
        <v>62.14</v>
      </c>
      <c r="D1051" s="2">
        <v>4.3148148148148151E-2</v>
      </c>
      <c r="E1051">
        <v>12.212</v>
      </c>
      <c r="F1051" s="2">
        <v>3.530092592592592E-3</v>
      </c>
      <c r="G1051">
        <v>11.79</v>
      </c>
      <c r="H1051">
        <v>13.27</v>
      </c>
      <c r="I1051">
        <v>155</v>
      </c>
      <c r="J1051">
        <v>141</v>
      </c>
      <c r="K1051">
        <v>851</v>
      </c>
      <c r="L1051" s="2">
        <v>3.3680555555555551E-3</v>
      </c>
      <c r="M1051" s="2">
        <v>1.7222222222222222E-2</v>
      </c>
      <c r="N1051" s="2">
        <v>3.5416666666666666E-2</v>
      </c>
      <c r="O1051" s="2">
        <v>0</v>
      </c>
      <c r="P1051" s="2">
        <v>0</v>
      </c>
    </row>
    <row r="1052" spans="1:16" x14ac:dyDescent="0.3">
      <c r="A1052" s="1">
        <v>45712.740046296298</v>
      </c>
      <c r="B1052" s="1">
        <v>45712.794861111113</v>
      </c>
      <c r="C1052">
        <v>78.95</v>
      </c>
      <c r="D1052" s="2">
        <v>5.4814814814814816E-2</v>
      </c>
      <c r="E1052">
        <v>17.154</v>
      </c>
      <c r="F1052" s="2">
        <v>3.1944444444444442E-3</v>
      </c>
      <c r="G1052">
        <v>13.04</v>
      </c>
      <c r="H1052">
        <v>14.24</v>
      </c>
      <c r="I1052">
        <v>184</v>
      </c>
      <c r="J1052">
        <v>153</v>
      </c>
      <c r="K1052">
        <v>1212</v>
      </c>
      <c r="L1052" s="2">
        <v>3.0555555555555557E-3</v>
      </c>
      <c r="M1052" s="2">
        <v>1.556712962962963E-2</v>
      </c>
      <c r="N1052" s="2">
        <v>3.138888888888889E-2</v>
      </c>
      <c r="O1052" s="2">
        <v>0</v>
      </c>
      <c r="P1052" s="2">
        <v>0</v>
      </c>
    </row>
    <row r="1053" spans="1:16" x14ac:dyDescent="0.3">
      <c r="A1053" s="1">
        <v>45714.426006944443</v>
      </c>
      <c r="B1053" s="1">
        <v>45714.464375000003</v>
      </c>
      <c r="C1053">
        <v>55.25</v>
      </c>
      <c r="D1053" s="2">
        <v>3.8368055555555551E-2</v>
      </c>
      <c r="E1053">
        <v>11.496</v>
      </c>
      <c r="F1053" s="2">
        <v>3.3333333333333335E-3</v>
      </c>
      <c r="G1053">
        <v>12.48</v>
      </c>
      <c r="H1053">
        <v>16.12</v>
      </c>
      <c r="I1053">
        <v>164</v>
      </c>
      <c r="J1053">
        <v>145</v>
      </c>
      <c r="K1053">
        <v>803</v>
      </c>
      <c r="L1053" s="2">
        <v>3.1249999999999997E-3</v>
      </c>
      <c r="M1053" s="2">
        <v>1.6331018518518519E-2</v>
      </c>
      <c r="N1053" s="2">
        <v>3.3136574074074075E-2</v>
      </c>
      <c r="O1053" s="2">
        <v>0</v>
      </c>
      <c r="P1053" s="2">
        <v>0</v>
      </c>
    </row>
    <row r="1054" spans="1:16" x14ac:dyDescent="0.3">
      <c r="A1054" s="1">
        <v>45716.306932870371</v>
      </c>
      <c r="B1054" s="1">
        <v>45716.43545138889</v>
      </c>
      <c r="C1054">
        <v>179.6</v>
      </c>
      <c r="D1054" s="2">
        <v>0.12471064814814814</v>
      </c>
      <c r="E1054">
        <v>42.48</v>
      </c>
      <c r="F1054" s="2">
        <v>2.9282407407407412E-3</v>
      </c>
      <c r="G1054">
        <v>14.19</v>
      </c>
      <c r="H1054">
        <v>15.92</v>
      </c>
      <c r="I1054">
        <v>185</v>
      </c>
      <c r="J1054">
        <v>168</v>
      </c>
      <c r="K1054">
        <v>2423</v>
      </c>
      <c r="L1054" s="2">
        <v>2.7199074074074074E-3</v>
      </c>
      <c r="M1054" s="2">
        <v>1.4027777777777778E-2</v>
      </c>
      <c r="N1054" s="2">
        <v>2.8287037037037038E-2</v>
      </c>
      <c r="O1054" s="2">
        <v>6.0277777777777784E-2</v>
      </c>
      <c r="P1054" s="2">
        <v>0.12409722222222223</v>
      </c>
    </row>
    <row r="1055" spans="1:16" x14ac:dyDescent="0.3">
      <c r="A1055" s="1">
        <v>45718.924398148149</v>
      </c>
      <c r="B1055" s="1">
        <v>45718.962627314817</v>
      </c>
      <c r="C1055">
        <v>55.06</v>
      </c>
      <c r="D1055" s="2">
        <v>3.8229166666666668E-2</v>
      </c>
      <c r="E1055">
        <v>10.404</v>
      </c>
      <c r="F1055" s="2">
        <v>3.6689814814814814E-3</v>
      </c>
      <c r="G1055">
        <v>11.34</v>
      </c>
      <c r="H1055">
        <v>14.11</v>
      </c>
      <c r="I1055">
        <v>158</v>
      </c>
      <c r="J1055">
        <v>139</v>
      </c>
      <c r="K1055">
        <v>736</v>
      </c>
      <c r="L1055" s="2">
        <v>3.5185185185185185E-3</v>
      </c>
      <c r="M1055" s="2">
        <v>1.8287037037037036E-2</v>
      </c>
      <c r="N1055" s="2">
        <v>3.6770833333333336E-2</v>
      </c>
      <c r="O1055" s="2">
        <v>0</v>
      </c>
      <c r="P1055" s="2">
        <v>0</v>
      </c>
    </row>
    <row r="1056" spans="1:16" x14ac:dyDescent="0.3">
      <c r="A1056" s="1">
        <v>45720.894189814811</v>
      </c>
      <c r="B1056" s="1">
        <v>45720.945914351854</v>
      </c>
      <c r="C1056">
        <v>74.489999999999995</v>
      </c>
      <c r="D1056" s="2">
        <v>5.1724537037037034E-2</v>
      </c>
      <c r="E1056">
        <v>15.101000000000001</v>
      </c>
      <c r="F1056" s="2">
        <v>3.414351851851852E-3</v>
      </c>
      <c r="G1056">
        <v>12.16</v>
      </c>
      <c r="H1056">
        <v>16.29</v>
      </c>
      <c r="I1056">
        <v>162</v>
      </c>
      <c r="J1056">
        <v>141</v>
      </c>
      <c r="K1056">
        <v>1028</v>
      </c>
      <c r="L1056" s="2">
        <v>3.2291666666666666E-3</v>
      </c>
      <c r="M1056" s="2">
        <v>1.6759259259259258E-2</v>
      </c>
      <c r="N1056" s="2">
        <v>3.3784722222222223E-2</v>
      </c>
      <c r="O1056" s="2">
        <v>0</v>
      </c>
      <c r="P1056" s="2">
        <v>0</v>
      </c>
    </row>
    <row r="1057" spans="1:16" x14ac:dyDescent="0.3">
      <c r="A1057" s="1">
        <v>45723.287824074076</v>
      </c>
      <c r="B1057" s="1">
        <v>45723.297349537039</v>
      </c>
      <c r="C1057">
        <v>13.73</v>
      </c>
      <c r="D1057" s="2">
        <v>9.525462962962963E-3</v>
      </c>
      <c r="E1057">
        <v>2.6139999999999999</v>
      </c>
      <c r="F1057" s="2">
        <v>3.645833333333333E-3</v>
      </c>
      <c r="G1057">
        <v>11.42</v>
      </c>
      <c r="H1057">
        <v>14.85</v>
      </c>
      <c r="I1057">
        <v>152</v>
      </c>
      <c r="J1057">
        <v>138</v>
      </c>
      <c r="K1057">
        <v>195</v>
      </c>
      <c r="L1057" s="2">
        <v>3.483796296296296E-3</v>
      </c>
      <c r="M1057" s="2">
        <v>0</v>
      </c>
      <c r="N1057" s="2">
        <v>0</v>
      </c>
      <c r="O1057" s="2">
        <v>0</v>
      </c>
      <c r="P1057" s="2">
        <v>0</v>
      </c>
    </row>
    <row r="1058" spans="1:16" x14ac:dyDescent="0.3">
      <c r="A1058" s="1">
        <v>45723.315844907411</v>
      </c>
      <c r="B1058" s="1">
        <v>45723.33189814815</v>
      </c>
      <c r="C1058">
        <v>18.149999999999999</v>
      </c>
      <c r="D1058" s="2">
        <v>1.2592592592592593E-2</v>
      </c>
      <c r="E1058">
        <v>5.0110000000000001</v>
      </c>
      <c r="F1058" s="2">
        <v>2.5115740740740741E-3</v>
      </c>
      <c r="G1058">
        <v>16.57</v>
      </c>
      <c r="H1058">
        <v>20.79</v>
      </c>
      <c r="I1058">
        <v>183</v>
      </c>
      <c r="J1058">
        <v>168</v>
      </c>
      <c r="K1058">
        <v>322</v>
      </c>
      <c r="L1058" s="2">
        <v>2.4189814814814816E-3</v>
      </c>
      <c r="M1058" s="2">
        <v>1.2581018518518519E-2</v>
      </c>
      <c r="N1058" s="2">
        <v>0</v>
      </c>
      <c r="O1058" s="2">
        <v>0</v>
      </c>
      <c r="P1058" s="2">
        <v>0</v>
      </c>
    </row>
    <row r="1059" spans="1:16" x14ac:dyDescent="0.3">
      <c r="A1059" s="1">
        <v>45723.342847222222</v>
      </c>
      <c r="B1059" s="1">
        <v>45723.36105324074</v>
      </c>
      <c r="C1059">
        <v>26.23</v>
      </c>
      <c r="D1059" s="2">
        <v>1.8206018518518517E-2</v>
      </c>
      <c r="E1059">
        <v>5.0229999999999997</v>
      </c>
      <c r="F1059" s="2">
        <v>3.6226851851851854E-3</v>
      </c>
      <c r="G1059">
        <v>11.49</v>
      </c>
      <c r="H1059">
        <v>12.66</v>
      </c>
      <c r="I1059">
        <v>148</v>
      </c>
      <c r="J1059">
        <v>134</v>
      </c>
      <c r="K1059">
        <v>346</v>
      </c>
      <c r="L1059" s="2">
        <v>3.472222222222222E-3</v>
      </c>
      <c r="M1059" s="2">
        <v>1.8136574074074072E-2</v>
      </c>
      <c r="N1059" s="2">
        <v>0</v>
      </c>
      <c r="O1059" s="2">
        <v>0</v>
      </c>
      <c r="P1059" s="2">
        <v>0</v>
      </c>
    </row>
    <row r="1060" spans="1:16" x14ac:dyDescent="0.3">
      <c r="A1060" s="1">
        <v>45724.953032407408</v>
      </c>
      <c r="B1060" s="1">
        <v>45724.998877314814</v>
      </c>
      <c r="C1060">
        <v>66.03</v>
      </c>
      <c r="D1060" s="2">
        <v>4.5844907407407404E-2</v>
      </c>
      <c r="E1060">
        <v>13.05</v>
      </c>
      <c r="F1060" s="2">
        <v>3.5069444444444445E-3</v>
      </c>
      <c r="G1060">
        <v>11.86</v>
      </c>
      <c r="H1060">
        <v>15.79</v>
      </c>
      <c r="I1060">
        <v>164</v>
      </c>
      <c r="J1060">
        <v>142</v>
      </c>
      <c r="K1060">
        <v>921</v>
      </c>
      <c r="L1060" s="2">
        <v>3.2291666666666666E-3</v>
      </c>
      <c r="M1060" s="2">
        <v>1.726851851851852E-2</v>
      </c>
      <c r="N1060" s="2">
        <v>3.4849537037037033E-2</v>
      </c>
      <c r="O1060" s="2">
        <v>0</v>
      </c>
      <c r="P1060" s="2">
        <v>0</v>
      </c>
    </row>
    <row r="1061" spans="1:16" x14ac:dyDescent="0.3">
      <c r="A1061" s="1">
        <v>45725.927916666667</v>
      </c>
      <c r="B1061" s="1">
        <v>45725.963182870371</v>
      </c>
      <c r="C1061">
        <v>50.79</v>
      </c>
      <c r="D1061" s="2">
        <v>3.5266203703703702E-2</v>
      </c>
      <c r="E1061">
        <v>11.103</v>
      </c>
      <c r="F1061" s="2">
        <v>3.1712962962962958E-3</v>
      </c>
      <c r="G1061">
        <v>13.12</v>
      </c>
      <c r="H1061">
        <v>19.38</v>
      </c>
      <c r="I1061">
        <v>165</v>
      </c>
      <c r="J1061">
        <v>147</v>
      </c>
      <c r="K1061">
        <v>748</v>
      </c>
      <c r="L1061" s="2">
        <v>2.9398148148148148E-3</v>
      </c>
      <c r="M1061" s="2">
        <v>1.4988425925925926E-2</v>
      </c>
      <c r="N1061" s="2">
        <v>3.1319444444444448E-2</v>
      </c>
      <c r="O1061" s="2">
        <v>0</v>
      </c>
      <c r="P1061" s="2">
        <v>0</v>
      </c>
    </row>
    <row r="1062" spans="1:16" x14ac:dyDescent="0.3">
      <c r="A1062" s="1">
        <v>45728.920324074075</v>
      </c>
      <c r="B1062" s="1">
        <v>45728.980775462966</v>
      </c>
      <c r="C1062">
        <v>87.06</v>
      </c>
      <c r="D1062" s="2">
        <v>6.0451388888888895E-2</v>
      </c>
      <c r="E1062">
        <v>18.248000000000001</v>
      </c>
      <c r="F1062" s="2">
        <v>3.3101851851851851E-3</v>
      </c>
      <c r="G1062">
        <v>12.58</v>
      </c>
      <c r="H1062">
        <v>16.79</v>
      </c>
      <c r="I1062">
        <v>170</v>
      </c>
      <c r="J1062">
        <v>143</v>
      </c>
      <c r="K1062">
        <v>1225</v>
      </c>
      <c r="L1062" s="2">
        <v>2.7893518518518519E-3</v>
      </c>
      <c r="M1062" s="2">
        <v>1.53125E-2</v>
      </c>
      <c r="N1062" s="2">
        <v>3.1990740740740743E-2</v>
      </c>
      <c r="O1062" s="2">
        <v>0</v>
      </c>
      <c r="P1062" s="2">
        <v>0</v>
      </c>
    </row>
    <row r="1063" spans="1:16" x14ac:dyDescent="0.3">
      <c r="A1063" s="1">
        <v>45730.323819444442</v>
      </c>
      <c r="B1063" s="1">
        <v>45730.365717592591</v>
      </c>
      <c r="C1063">
        <v>60.35</v>
      </c>
      <c r="D1063" s="2">
        <v>4.189814814814815E-2</v>
      </c>
      <c r="E1063">
        <v>11.499000000000001</v>
      </c>
      <c r="F1063" s="2">
        <v>3.6342592592592594E-3</v>
      </c>
      <c r="G1063">
        <v>11.43</v>
      </c>
      <c r="H1063">
        <v>13.03</v>
      </c>
      <c r="I1063">
        <v>146</v>
      </c>
      <c r="J1063">
        <v>137</v>
      </c>
      <c r="K1063">
        <v>791</v>
      </c>
      <c r="L1063" s="2">
        <v>3.483796296296296E-3</v>
      </c>
      <c r="M1063" s="2">
        <v>1.7962962962962962E-2</v>
      </c>
      <c r="N1063" s="2">
        <v>3.6284722222222225E-2</v>
      </c>
      <c r="O1063" s="2">
        <v>0</v>
      </c>
      <c r="P1063" s="2">
        <v>0</v>
      </c>
    </row>
    <row r="1064" spans="1:16" x14ac:dyDescent="0.3">
      <c r="A1064" s="1">
        <v>45731.865486111114</v>
      </c>
      <c r="B1064" s="1">
        <v>45731.910196759258</v>
      </c>
      <c r="C1064">
        <v>62.6</v>
      </c>
      <c r="D1064" s="2">
        <v>4.3472222222222225E-2</v>
      </c>
      <c r="E1064">
        <v>12.342000000000001</v>
      </c>
      <c r="F1064" s="2">
        <v>3.5185185185185185E-3</v>
      </c>
      <c r="G1064">
        <v>11.83</v>
      </c>
      <c r="H1064">
        <v>14.48</v>
      </c>
      <c r="I1064">
        <v>162</v>
      </c>
      <c r="J1064">
        <v>140</v>
      </c>
      <c r="K1064">
        <v>869</v>
      </c>
      <c r="L1064" s="2">
        <v>3.1481481481481482E-3</v>
      </c>
      <c r="M1064" s="2">
        <v>1.6851851851851851E-2</v>
      </c>
      <c r="N1064" s="2">
        <v>3.4826388888888886E-2</v>
      </c>
      <c r="O1064" s="2">
        <v>0</v>
      </c>
      <c r="P1064" s="2">
        <v>0</v>
      </c>
    </row>
    <row r="1065" spans="1:16" x14ac:dyDescent="0.3">
      <c r="A1065" s="1">
        <v>45733.92597222222</v>
      </c>
      <c r="B1065" s="1">
        <v>45733.991527777776</v>
      </c>
      <c r="C1065">
        <v>94.41</v>
      </c>
      <c r="D1065" s="2">
        <v>6.5555555555555547E-2</v>
      </c>
      <c r="E1065">
        <v>21.256</v>
      </c>
      <c r="F1065" s="2">
        <v>3.0787037037037037E-3</v>
      </c>
      <c r="G1065">
        <v>13.51</v>
      </c>
      <c r="H1065">
        <v>15.55</v>
      </c>
      <c r="I1065">
        <v>174</v>
      </c>
      <c r="J1065">
        <v>156</v>
      </c>
      <c r="K1065">
        <v>1437</v>
      </c>
      <c r="L1065" s="2">
        <v>2.7546296296296294E-3</v>
      </c>
      <c r="M1065" s="2">
        <v>1.4490740740740742E-2</v>
      </c>
      <c r="N1065" s="2">
        <v>2.9340277777777781E-2</v>
      </c>
      <c r="O1065" s="2">
        <v>6.5069444444444444E-2</v>
      </c>
      <c r="P1065" s="2">
        <v>0</v>
      </c>
    </row>
    <row r="1066" spans="1:16" x14ac:dyDescent="0.3">
      <c r="A1066" s="1">
        <v>45734.962743055556</v>
      </c>
      <c r="B1066" s="1">
        <v>45734.998240740744</v>
      </c>
      <c r="C1066">
        <v>51.13</v>
      </c>
      <c r="D1066" s="2">
        <v>3.5497685185185188E-2</v>
      </c>
      <c r="E1066">
        <v>10.099</v>
      </c>
      <c r="F1066" s="2">
        <v>3.5069444444444445E-3</v>
      </c>
      <c r="G1066">
        <v>11.85</v>
      </c>
      <c r="H1066">
        <v>13.54</v>
      </c>
      <c r="I1066">
        <v>152</v>
      </c>
      <c r="J1066">
        <v>140</v>
      </c>
      <c r="K1066">
        <v>700</v>
      </c>
      <c r="L1066" s="2">
        <v>3.2175925925925926E-3</v>
      </c>
      <c r="M1066" s="2">
        <v>1.7002314814814814E-2</v>
      </c>
      <c r="N1066" s="2">
        <v>3.5138888888888893E-2</v>
      </c>
      <c r="O1066" s="2">
        <v>0</v>
      </c>
      <c r="P1066" s="2">
        <v>0</v>
      </c>
    </row>
    <row r="1067" spans="1:16" x14ac:dyDescent="0.3">
      <c r="A1067" s="1">
        <v>45736.97384259259</v>
      </c>
      <c r="B1067" s="1">
        <v>45737.024282407408</v>
      </c>
      <c r="C1067">
        <v>72.650000000000006</v>
      </c>
      <c r="D1067" s="2">
        <v>5.0439814814814819E-2</v>
      </c>
      <c r="E1067">
        <v>15.254</v>
      </c>
      <c r="F1067" s="2">
        <v>3.2986111111111111E-3</v>
      </c>
      <c r="G1067">
        <v>12.6</v>
      </c>
      <c r="H1067">
        <v>13.98</v>
      </c>
      <c r="I1067">
        <v>173</v>
      </c>
      <c r="J1067">
        <v>159</v>
      </c>
      <c r="K1067">
        <v>1103</v>
      </c>
      <c r="L1067" s="2">
        <v>3.1134259259259257E-3</v>
      </c>
      <c r="M1067" s="2">
        <v>1.5891203703703703E-2</v>
      </c>
      <c r="N1067" s="2">
        <v>3.2696759259259259E-2</v>
      </c>
      <c r="O1067" s="2">
        <v>0</v>
      </c>
      <c r="P1067" s="2">
        <v>0</v>
      </c>
    </row>
    <row r="1068" spans="1:16" x14ac:dyDescent="0.3">
      <c r="A1068" s="1">
        <v>45737.655243055553</v>
      </c>
      <c r="B1068" s="1">
        <v>45737.690335648149</v>
      </c>
      <c r="C1068">
        <v>50.55</v>
      </c>
      <c r="D1068" s="2">
        <v>3.5092592592592592E-2</v>
      </c>
      <c r="E1068">
        <v>10.573</v>
      </c>
      <c r="F1068" s="2">
        <v>3.3101851851851851E-3</v>
      </c>
      <c r="G1068">
        <v>12.55</v>
      </c>
      <c r="H1068">
        <v>16.66</v>
      </c>
      <c r="I1068">
        <v>163</v>
      </c>
      <c r="J1068">
        <v>146</v>
      </c>
      <c r="K1068">
        <v>734</v>
      </c>
      <c r="L1068" s="2">
        <v>3.0439814814814821E-3</v>
      </c>
      <c r="M1068" s="2">
        <v>1.6238425925925924E-2</v>
      </c>
      <c r="N1068" s="2">
        <v>3.3159722222222222E-2</v>
      </c>
      <c r="O1068" s="2">
        <v>0</v>
      </c>
      <c r="P1068" s="2">
        <v>0</v>
      </c>
    </row>
    <row r="1069" spans="1:16" x14ac:dyDescent="0.3">
      <c r="A1069" s="1">
        <v>45738.876122685186</v>
      </c>
      <c r="B1069" s="1">
        <v>45738.932222222225</v>
      </c>
      <c r="C1069">
        <v>74.22</v>
      </c>
      <c r="D1069" s="2">
        <v>5.153935185185185E-2</v>
      </c>
      <c r="E1069">
        <v>15.502000000000001</v>
      </c>
      <c r="F1069" s="2">
        <v>3.3217592592592591E-3</v>
      </c>
      <c r="G1069">
        <v>12.53</v>
      </c>
      <c r="H1069">
        <v>15.02</v>
      </c>
      <c r="I1069">
        <v>171</v>
      </c>
      <c r="J1069">
        <v>154</v>
      </c>
      <c r="K1069">
        <v>1088</v>
      </c>
      <c r="L1069" s="2">
        <v>2.8587962962962963E-3</v>
      </c>
      <c r="M1069" s="2">
        <v>1.6134259259259261E-2</v>
      </c>
      <c r="N1069" s="2">
        <v>3.2870370370370376E-2</v>
      </c>
      <c r="O1069" s="2">
        <v>0</v>
      </c>
      <c r="P1069" s="2">
        <v>0</v>
      </c>
    </row>
    <row r="1070" spans="1:16" x14ac:dyDescent="0.3">
      <c r="A1070" s="1">
        <v>45740.905682870369</v>
      </c>
      <c r="B1070" s="1">
        <v>45740.96166666667</v>
      </c>
      <c r="C1070">
        <v>80.63</v>
      </c>
      <c r="D1070" s="2">
        <v>5.5983796296296295E-2</v>
      </c>
      <c r="E1070">
        <v>18.052</v>
      </c>
      <c r="F1070" s="2">
        <v>3.0902777777777782E-3</v>
      </c>
      <c r="G1070">
        <v>13.43</v>
      </c>
      <c r="H1070">
        <v>14.95</v>
      </c>
      <c r="I1070">
        <v>177</v>
      </c>
      <c r="J1070">
        <v>157</v>
      </c>
      <c r="K1070">
        <v>1252</v>
      </c>
      <c r="L1070" s="2">
        <v>2.8356481481481479E-3</v>
      </c>
      <c r="M1070" s="2">
        <v>1.4537037037037038E-2</v>
      </c>
      <c r="N1070" s="2">
        <v>2.9583333333333336E-2</v>
      </c>
      <c r="O1070" s="2">
        <v>0</v>
      </c>
      <c r="P1070" s="2">
        <v>0</v>
      </c>
    </row>
    <row r="1071" spans="1:16" x14ac:dyDescent="0.3">
      <c r="A1071" s="1">
        <v>45740.966608796298</v>
      </c>
      <c r="B1071" s="1">
        <v>45740.979178240741</v>
      </c>
      <c r="C1071">
        <v>18.11</v>
      </c>
      <c r="D1071" s="2">
        <v>1.2569444444444446E-2</v>
      </c>
      <c r="E1071">
        <v>3.3530000000000002</v>
      </c>
      <c r="F1071" s="2">
        <v>3.7500000000000003E-3</v>
      </c>
      <c r="G1071">
        <v>11.11</v>
      </c>
      <c r="H1071">
        <v>12.56</v>
      </c>
      <c r="I1071">
        <v>158</v>
      </c>
      <c r="J1071">
        <v>137</v>
      </c>
      <c r="K1071">
        <v>238</v>
      </c>
      <c r="L1071" s="2">
        <v>3.6574074074074074E-3</v>
      </c>
      <c r="M1071" s="2">
        <v>0</v>
      </c>
      <c r="N1071" s="2">
        <v>0</v>
      </c>
      <c r="O1071" s="2">
        <v>0</v>
      </c>
      <c r="P1071" s="2">
        <v>0</v>
      </c>
    </row>
    <row r="1072" spans="1:16" x14ac:dyDescent="0.3">
      <c r="A1072" s="1">
        <v>45742.935115740744</v>
      </c>
      <c r="B1072" s="1">
        <v>45742.979351851849</v>
      </c>
      <c r="C1072">
        <v>63.71</v>
      </c>
      <c r="D1072" s="2">
        <v>4.4236111111111115E-2</v>
      </c>
      <c r="E1072">
        <v>12.146000000000001</v>
      </c>
      <c r="F1072" s="2">
        <v>3.6342592592592594E-3</v>
      </c>
      <c r="G1072">
        <v>11.44</v>
      </c>
      <c r="H1072">
        <v>13</v>
      </c>
      <c r="I1072">
        <v>161</v>
      </c>
      <c r="J1072">
        <v>141</v>
      </c>
      <c r="K1072">
        <v>861</v>
      </c>
      <c r="L1072" s="2">
        <v>3.472222222222222E-3</v>
      </c>
      <c r="M1072" s="2">
        <v>1.7916666666666668E-2</v>
      </c>
      <c r="N1072" s="2">
        <v>3.6354166666666667E-2</v>
      </c>
      <c r="O1072" s="2">
        <v>0</v>
      </c>
      <c r="P1072" s="2">
        <v>0</v>
      </c>
    </row>
    <row r="1073" spans="1:16" x14ac:dyDescent="0.3">
      <c r="A1073" s="1">
        <v>45744.277986111112</v>
      </c>
      <c r="B1073" s="1">
        <v>45744.28696759259</v>
      </c>
      <c r="C1073">
        <v>11.53</v>
      </c>
      <c r="D1073" s="2">
        <v>7.9976851851851858E-3</v>
      </c>
      <c r="E1073">
        <v>2.052</v>
      </c>
      <c r="F1073" s="2">
        <v>3.9004629629629632E-3</v>
      </c>
      <c r="G1073">
        <v>10.68</v>
      </c>
      <c r="H1073">
        <v>18.21</v>
      </c>
      <c r="I1073">
        <v>171</v>
      </c>
      <c r="J1073">
        <v>154</v>
      </c>
      <c r="K1073">
        <v>161</v>
      </c>
      <c r="L1073" s="2">
        <v>3.8310185185185183E-3</v>
      </c>
      <c r="M1073" s="2">
        <v>0</v>
      </c>
      <c r="N1073" s="2">
        <v>0</v>
      </c>
      <c r="O1073" s="2">
        <v>0</v>
      </c>
      <c r="P1073" s="2">
        <v>0</v>
      </c>
    </row>
    <row r="1074" spans="1:16" x14ac:dyDescent="0.3">
      <c r="A1074" s="1">
        <v>45744.288148148145</v>
      </c>
      <c r="B1074" s="1">
        <v>45744.315648148149</v>
      </c>
      <c r="C1074">
        <v>39.61</v>
      </c>
      <c r="D1074" s="2">
        <v>2.75E-2</v>
      </c>
      <c r="E1074">
        <v>10.143000000000001</v>
      </c>
      <c r="F1074" s="2">
        <v>2.7083333333333334E-3</v>
      </c>
      <c r="G1074">
        <v>15.36</v>
      </c>
      <c r="H1074">
        <v>17.329999999999998</v>
      </c>
      <c r="I1074">
        <v>179</v>
      </c>
      <c r="J1074">
        <v>168</v>
      </c>
      <c r="K1074">
        <v>672</v>
      </c>
      <c r="L1074" s="2">
        <v>2.488425925925926E-3</v>
      </c>
      <c r="M1074" s="2">
        <v>1.3125E-2</v>
      </c>
      <c r="N1074" s="2">
        <v>2.7129629629629632E-2</v>
      </c>
      <c r="O1074" s="2">
        <v>0</v>
      </c>
      <c r="P1074" s="2">
        <v>0</v>
      </c>
    </row>
    <row r="1075" spans="1:16" x14ac:dyDescent="0.3">
      <c r="A1075" s="1">
        <v>45744.335694444446</v>
      </c>
      <c r="B1075" s="1">
        <v>45744.360335648147</v>
      </c>
      <c r="C1075">
        <v>35.5</v>
      </c>
      <c r="D1075" s="2">
        <v>2.4641203703703703E-2</v>
      </c>
      <c r="E1075">
        <v>6.5010000000000003</v>
      </c>
      <c r="F1075" s="2">
        <v>3.7847222222222223E-3</v>
      </c>
      <c r="G1075">
        <v>10.99</v>
      </c>
      <c r="H1075">
        <v>16.559999999999999</v>
      </c>
      <c r="I1075">
        <v>163</v>
      </c>
      <c r="J1075">
        <v>137</v>
      </c>
      <c r="K1075">
        <v>466</v>
      </c>
      <c r="L1075" s="2">
        <v>3.3449074074074071E-3</v>
      </c>
      <c r="M1075" s="2">
        <v>1.8657407407407407E-2</v>
      </c>
      <c r="N1075" s="2">
        <v>0</v>
      </c>
      <c r="O1075" s="2">
        <v>0</v>
      </c>
      <c r="P1075" s="2">
        <v>0</v>
      </c>
    </row>
    <row r="1076" spans="1:16" x14ac:dyDescent="0.3">
      <c r="A1076" s="1">
        <v>45745.972037037034</v>
      </c>
      <c r="B1076" s="1">
        <v>45746.015648148146</v>
      </c>
      <c r="C1076">
        <v>62.8</v>
      </c>
      <c r="D1076" s="2">
        <v>4.3611111111111107E-2</v>
      </c>
      <c r="E1076">
        <v>12.253</v>
      </c>
      <c r="F1076" s="2">
        <v>3.5532407407407405E-3</v>
      </c>
      <c r="G1076">
        <v>11.71</v>
      </c>
      <c r="H1076">
        <v>16.02</v>
      </c>
      <c r="I1076">
        <v>159</v>
      </c>
      <c r="J1076">
        <v>142</v>
      </c>
      <c r="K1076">
        <v>861</v>
      </c>
      <c r="L1076" s="2">
        <v>3.3680555555555551E-3</v>
      </c>
      <c r="M1076" s="2">
        <v>1.7569444444444447E-2</v>
      </c>
      <c r="N1076" s="2">
        <v>3.5428240740740739E-2</v>
      </c>
      <c r="O1076" s="2">
        <v>0</v>
      </c>
      <c r="P1076" s="2">
        <v>0</v>
      </c>
    </row>
    <row r="1077" spans="1:16" x14ac:dyDescent="0.3">
      <c r="A1077" s="1">
        <v>45747.946064814816</v>
      </c>
      <c r="B1077" s="1">
        <v>45747.983807870369</v>
      </c>
      <c r="C1077">
        <v>54.36</v>
      </c>
      <c r="D1077" s="2">
        <v>3.7743055555555557E-2</v>
      </c>
      <c r="E1077">
        <v>12.503</v>
      </c>
      <c r="F1077" s="2">
        <v>3.0092592592592588E-3</v>
      </c>
      <c r="G1077">
        <v>13.8</v>
      </c>
      <c r="H1077">
        <v>15.69</v>
      </c>
      <c r="I1077">
        <v>170</v>
      </c>
      <c r="J1077">
        <v>152</v>
      </c>
      <c r="K1077">
        <v>832</v>
      </c>
      <c r="L1077" s="2">
        <v>2.8587962962962963E-3</v>
      </c>
      <c r="M1077" s="2">
        <v>1.4594907407407405E-2</v>
      </c>
      <c r="N1077" s="2">
        <v>2.9722222222222219E-2</v>
      </c>
      <c r="O1077" s="2">
        <v>0</v>
      </c>
      <c r="P1077" s="2">
        <v>0</v>
      </c>
    </row>
    <row r="1078" spans="1:16" x14ac:dyDescent="0.3">
      <c r="A1078" s="1">
        <v>45749.914780092593</v>
      </c>
      <c r="B1078" s="1">
        <v>45749.962476851855</v>
      </c>
      <c r="C1078">
        <v>68.69</v>
      </c>
      <c r="D1078" s="2">
        <v>4.7696759259259258E-2</v>
      </c>
      <c r="E1078">
        <v>13.252000000000001</v>
      </c>
      <c r="F1078" s="2">
        <v>3.5995370370370369E-3</v>
      </c>
      <c r="G1078">
        <v>11.57</v>
      </c>
      <c r="H1078">
        <v>15.75</v>
      </c>
      <c r="I1078">
        <v>162</v>
      </c>
      <c r="J1078">
        <v>138</v>
      </c>
      <c r="K1078">
        <v>918</v>
      </c>
      <c r="L1078" s="2">
        <v>3.2754629629629631E-3</v>
      </c>
      <c r="M1078" s="2">
        <v>1.7430555555555557E-2</v>
      </c>
      <c r="N1078" s="2">
        <v>3.5671296296296298E-2</v>
      </c>
      <c r="O1078" s="2">
        <v>0</v>
      </c>
      <c r="P1078" s="2">
        <v>0</v>
      </c>
    </row>
    <row r="1079" spans="1:16" x14ac:dyDescent="0.3">
      <c r="A1079" s="1">
        <v>45751.233124999999</v>
      </c>
      <c r="B1079" s="1">
        <v>45751.242256944446</v>
      </c>
      <c r="C1079">
        <v>13.15</v>
      </c>
      <c r="D1079" s="2">
        <v>9.1319444444444443E-3</v>
      </c>
      <c r="E1079">
        <v>2.0720000000000001</v>
      </c>
      <c r="F1079" s="2">
        <v>4.3981481481481484E-3</v>
      </c>
      <c r="G1079">
        <v>9.4499999999999993</v>
      </c>
      <c r="H1079">
        <v>10.78</v>
      </c>
      <c r="I1079">
        <v>139</v>
      </c>
      <c r="J1079">
        <v>124</v>
      </c>
      <c r="K1079">
        <v>157</v>
      </c>
      <c r="L1079" s="2">
        <v>4.2361111111111106E-3</v>
      </c>
      <c r="M1079" s="2">
        <v>0</v>
      </c>
      <c r="N1079" s="2">
        <v>0</v>
      </c>
      <c r="O1079" s="2">
        <v>0</v>
      </c>
      <c r="P1079" s="2">
        <v>0</v>
      </c>
    </row>
    <row r="1080" spans="1:16" x14ac:dyDescent="0.3">
      <c r="A1080" s="1">
        <v>45751.260740740741</v>
      </c>
      <c r="B1080" s="1">
        <v>45751.320717592593</v>
      </c>
      <c r="C1080">
        <v>86.38</v>
      </c>
      <c r="D1080" s="2">
        <v>5.9976851851851858E-2</v>
      </c>
      <c r="E1080">
        <v>21.329000000000001</v>
      </c>
      <c r="F1080" s="2">
        <v>2.8009259259259259E-3</v>
      </c>
      <c r="G1080">
        <v>14.82</v>
      </c>
      <c r="H1080">
        <v>18.27</v>
      </c>
      <c r="I1080">
        <v>193</v>
      </c>
      <c r="J1080">
        <v>171</v>
      </c>
      <c r="K1080">
        <v>1483</v>
      </c>
      <c r="L1080" s="2">
        <v>2.4537037037037036E-3</v>
      </c>
      <c r="M1080" s="2">
        <v>1.3310185185185187E-2</v>
      </c>
      <c r="N1080" s="2">
        <v>2.7430555555555555E-2</v>
      </c>
      <c r="O1080" s="2">
        <v>5.932870370370371E-2</v>
      </c>
      <c r="P1080" s="2">
        <v>0</v>
      </c>
    </row>
    <row r="1081" spans="1:16" x14ac:dyDescent="0.3">
      <c r="A1081" s="1">
        <v>45753.920358796298</v>
      </c>
      <c r="B1081" s="1">
        <v>45753.976284722223</v>
      </c>
      <c r="C1081">
        <v>80.540000000000006</v>
      </c>
      <c r="D1081" s="2">
        <v>5.5925925925925928E-2</v>
      </c>
      <c r="E1081">
        <v>15.252000000000001</v>
      </c>
      <c r="F1081" s="2">
        <v>3.6574074074074074E-3</v>
      </c>
      <c r="G1081">
        <v>11.36</v>
      </c>
      <c r="H1081">
        <v>14.98</v>
      </c>
      <c r="I1081">
        <v>149</v>
      </c>
      <c r="J1081">
        <v>131</v>
      </c>
      <c r="K1081">
        <v>1024</v>
      </c>
      <c r="L1081" s="2">
        <v>3.414351851851852E-3</v>
      </c>
      <c r="M1081" s="2">
        <v>1.8043981481481484E-2</v>
      </c>
      <c r="N1081" s="2">
        <v>3.6712962962962961E-2</v>
      </c>
      <c r="O1081" s="2">
        <v>0</v>
      </c>
      <c r="P1081" s="2">
        <v>0</v>
      </c>
    </row>
    <row r="1082" spans="1:16" x14ac:dyDescent="0.3">
      <c r="A1082" s="1">
        <v>45755.922951388886</v>
      </c>
      <c r="B1082" s="1">
        <v>45755.971863425926</v>
      </c>
      <c r="C1082">
        <v>70.44</v>
      </c>
      <c r="D1082" s="2">
        <v>4.8912037037037039E-2</v>
      </c>
      <c r="E1082">
        <v>15.252000000000001</v>
      </c>
      <c r="F1082" s="2">
        <v>3.2060185185185186E-3</v>
      </c>
      <c r="G1082">
        <v>12.99</v>
      </c>
      <c r="H1082">
        <v>17.13</v>
      </c>
      <c r="I1082">
        <v>176</v>
      </c>
      <c r="J1082">
        <v>151</v>
      </c>
      <c r="K1082">
        <v>1057</v>
      </c>
      <c r="L1082" s="2">
        <v>2.6157407407407405E-3</v>
      </c>
      <c r="M1082" s="2">
        <v>1.4490740740740742E-2</v>
      </c>
      <c r="N1082" s="2">
        <v>3.0138888888888889E-2</v>
      </c>
      <c r="O1082" s="2">
        <v>0</v>
      </c>
      <c r="P1082" s="2">
        <v>0</v>
      </c>
    </row>
    <row r="1083" spans="1:16" x14ac:dyDescent="0.3">
      <c r="A1083" s="1">
        <v>45757.945983796293</v>
      </c>
      <c r="B1083" s="1">
        <v>45757.999502314815</v>
      </c>
      <c r="C1083">
        <v>77.069999999999993</v>
      </c>
      <c r="D1083" s="2">
        <v>5.3518518518518521E-2</v>
      </c>
      <c r="E1083">
        <v>15.253</v>
      </c>
      <c r="F1083" s="2">
        <v>3.5069444444444445E-3</v>
      </c>
      <c r="G1083">
        <v>11.87</v>
      </c>
      <c r="H1083">
        <v>14.58</v>
      </c>
      <c r="I1083">
        <v>157</v>
      </c>
      <c r="J1083">
        <v>137</v>
      </c>
      <c r="K1083">
        <v>1050</v>
      </c>
      <c r="L1083" s="2">
        <v>3.2754629629629631E-3</v>
      </c>
      <c r="M1083" s="2">
        <v>1.7152777777777777E-2</v>
      </c>
      <c r="N1083" s="2">
        <v>3.5000000000000003E-2</v>
      </c>
      <c r="O1083" s="2">
        <v>0</v>
      </c>
      <c r="P1083" s="2">
        <v>0</v>
      </c>
    </row>
    <row r="1084" spans="1:16" x14ac:dyDescent="0.3">
      <c r="A1084" s="1">
        <v>45758.687430555554</v>
      </c>
      <c r="B1084" s="1">
        <v>45758.72246527778</v>
      </c>
      <c r="C1084">
        <v>50.46</v>
      </c>
      <c r="D1084" s="2">
        <v>3.5034722222222224E-2</v>
      </c>
      <c r="E1084">
        <v>11.113</v>
      </c>
      <c r="F1084" s="2">
        <v>3.1481481481481482E-3</v>
      </c>
      <c r="G1084">
        <v>13.21</v>
      </c>
      <c r="H1084">
        <v>16.46</v>
      </c>
      <c r="I1084">
        <v>163</v>
      </c>
      <c r="J1084">
        <v>146</v>
      </c>
      <c r="K1084">
        <v>758</v>
      </c>
      <c r="L1084" s="2">
        <v>2.9166666666666668E-3</v>
      </c>
      <c r="M1084" s="2">
        <v>1.5092592592592593E-2</v>
      </c>
      <c r="N1084" s="2">
        <v>3.1145833333333334E-2</v>
      </c>
      <c r="O1084" s="2">
        <v>0</v>
      </c>
      <c r="P1084" s="2">
        <v>0</v>
      </c>
    </row>
    <row r="1085" spans="1:16" x14ac:dyDescent="0.3">
      <c r="A1085" s="1">
        <v>45760.958599537036</v>
      </c>
      <c r="B1085" s="1">
        <v>45760.99759259259</v>
      </c>
      <c r="C1085">
        <v>55.87</v>
      </c>
      <c r="D1085" s="2">
        <v>3.878472222222222E-2</v>
      </c>
      <c r="E1085">
        <v>12.214</v>
      </c>
      <c r="F1085" s="2">
        <v>3.1712962962962962E-3</v>
      </c>
      <c r="G1085">
        <v>13.12</v>
      </c>
      <c r="H1085">
        <v>15.82</v>
      </c>
      <c r="I1085">
        <v>170</v>
      </c>
      <c r="J1085">
        <v>153</v>
      </c>
      <c r="K1085">
        <v>854</v>
      </c>
      <c r="L1085" s="2">
        <v>2.8819444444444444E-3</v>
      </c>
      <c r="M1085" s="2">
        <v>1.5150462962962963E-2</v>
      </c>
      <c r="N1085" s="2">
        <v>3.0810185185185184E-2</v>
      </c>
      <c r="O1085" s="2">
        <v>0</v>
      </c>
      <c r="P1085" s="2">
        <v>0</v>
      </c>
    </row>
    <row r="1086" spans="1:16" x14ac:dyDescent="0.3">
      <c r="A1086" s="1">
        <v>45761.948020833333</v>
      </c>
      <c r="B1086" s="1">
        <v>45761.99423611111</v>
      </c>
      <c r="C1086">
        <v>66.55</v>
      </c>
      <c r="D1086" s="2">
        <v>4.6215277777777779E-2</v>
      </c>
      <c r="E1086">
        <v>15.253</v>
      </c>
      <c r="F1086" s="2">
        <v>3.0208333333333333E-3</v>
      </c>
      <c r="G1086">
        <v>13.75</v>
      </c>
      <c r="H1086">
        <v>17.27</v>
      </c>
      <c r="I1086">
        <v>174</v>
      </c>
      <c r="J1086">
        <v>152</v>
      </c>
      <c r="K1086">
        <v>1019</v>
      </c>
      <c r="L1086" s="2">
        <v>2.7546296296296294E-3</v>
      </c>
      <c r="M1086" s="2">
        <v>1.474537037037037E-2</v>
      </c>
      <c r="N1086" s="2">
        <v>3.0069444444444444E-2</v>
      </c>
      <c r="O1086" s="2">
        <v>0</v>
      </c>
      <c r="P1086" s="2">
        <v>0</v>
      </c>
    </row>
    <row r="1087" spans="1:16" x14ac:dyDescent="0.3">
      <c r="A1087" s="1">
        <v>45764.899201388886</v>
      </c>
      <c r="B1087" s="1">
        <v>45764.976724537039</v>
      </c>
      <c r="C1087">
        <v>109.7</v>
      </c>
      <c r="D1087" s="2">
        <v>7.6168981481481476E-2</v>
      </c>
      <c r="E1087">
        <v>21.297999999999998</v>
      </c>
      <c r="F1087" s="2">
        <v>3.5763888888888889E-3</v>
      </c>
      <c r="G1087">
        <v>11.65</v>
      </c>
      <c r="H1087">
        <v>13.71</v>
      </c>
      <c r="I1087">
        <v>153</v>
      </c>
      <c r="J1087">
        <v>133</v>
      </c>
      <c r="K1087">
        <v>1444</v>
      </c>
      <c r="L1087" s="2">
        <v>3.2870370370370371E-3</v>
      </c>
      <c r="M1087" s="2">
        <v>1.7627314814814814E-2</v>
      </c>
      <c r="N1087" s="2">
        <v>3.5543981481481482E-2</v>
      </c>
      <c r="O1087" s="2">
        <v>7.5451388888888887E-2</v>
      </c>
      <c r="P1087" s="2">
        <v>0</v>
      </c>
    </row>
    <row r="1088" spans="1:16" x14ac:dyDescent="0.3">
      <c r="A1088" s="1">
        <v>45765.710787037038</v>
      </c>
      <c r="B1088" s="1">
        <v>45765.750277777777</v>
      </c>
      <c r="C1088">
        <v>56.82</v>
      </c>
      <c r="D1088" s="2">
        <v>3.9456018518518515E-2</v>
      </c>
      <c r="E1088">
        <v>12.247</v>
      </c>
      <c r="F1088" s="2">
        <v>3.2175925925925926E-3</v>
      </c>
      <c r="G1088">
        <v>12.93</v>
      </c>
      <c r="H1088">
        <v>15.69</v>
      </c>
      <c r="I1088">
        <v>168</v>
      </c>
      <c r="J1088">
        <v>149</v>
      </c>
      <c r="K1088">
        <v>844</v>
      </c>
      <c r="L1088" s="2">
        <v>2.9976851851851853E-3</v>
      </c>
      <c r="M1088" s="2">
        <v>1.5625E-2</v>
      </c>
      <c r="N1088" s="2">
        <v>3.201388888888889E-2</v>
      </c>
      <c r="O1088" s="2">
        <v>0</v>
      </c>
      <c r="P1088" s="2">
        <v>0</v>
      </c>
    </row>
    <row r="1089" spans="1:16" x14ac:dyDescent="0.3">
      <c r="A1089" s="1">
        <v>45767.909178240741</v>
      </c>
      <c r="B1089" s="1">
        <v>45767.981435185182</v>
      </c>
      <c r="C1089">
        <v>104.06</v>
      </c>
      <c r="D1089" s="2">
        <v>7.2256944444444443E-2</v>
      </c>
      <c r="E1089">
        <v>22.225000000000001</v>
      </c>
      <c r="F1089" s="2">
        <v>3.2407407407407406E-3</v>
      </c>
      <c r="G1089">
        <v>12.81</v>
      </c>
      <c r="H1089">
        <v>17.54</v>
      </c>
      <c r="I1089">
        <v>174</v>
      </c>
      <c r="J1089">
        <v>146</v>
      </c>
      <c r="K1089">
        <v>1528</v>
      </c>
      <c r="L1089" s="2">
        <v>2.685185185185185E-3</v>
      </c>
      <c r="M1089" s="2">
        <v>1.4247685185185184E-2</v>
      </c>
      <c r="N1089" s="2">
        <v>2.9756944444444444E-2</v>
      </c>
      <c r="O1089" s="2">
        <v>6.8368055555555557E-2</v>
      </c>
      <c r="P1089" s="2">
        <v>0</v>
      </c>
    </row>
    <row r="1090" spans="1:16" x14ac:dyDescent="0.3">
      <c r="A1090" s="1">
        <v>45768.935069444444</v>
      </c>
      <c r="B1090" s="1">
        <v>45768.98982638889</v>
      </c>
      <c r="C1090">
        <v>75.88</v>
      </c>
      <c r="D1090" s="2">
        <v>5.2685185185185182E-2</v>
      </c>
      <c r="E1090">
        <v>15.247999999999999</v>
      </c>
      <c r="F1090" s="2">
        <v>3.449074074074074E-3</v>
      </c>
      <c r="G1090">
        <v>12.06</v>
      </c>
      <c r="H1090">
        <v>14.58</v>
      </c>
      <c r="I1090">
        <v>154</v>
      </c>
      <c r="J1090">
        <v>140</v>
      </c>
      <c r="K1090">
        <v>1049</v>
      </c>
      <c r="L1090" s="2">
        <v>3.2407407407407406E-3</v>
      </c>
      <c r="M1090" s="2">
        <v>1.6932870370370369E-2</v>
      </c>
      <c r="N1090" s="2">
        <v>3.4317129629629628E-2</v>
      </c>
      <c r="O1090" s="2">
        <v>0</v>
      </c>
      <c r="P1090" s="2">
        <v>0</v>
      </c>
    </row>
    <row r="1091" spans="1:16" x14ac:dyDescent="0.3">
      <c r="A1091" s="1">
        <v>45769.849317129629</v>
      </c>
      <c r="B1091" s="1">
        <v>45769.892685185187</v>
      </c>
      <c r="C1091">
        <v>61.03</v>
      </c>
      <c r="D1091" s="2">
        <v>4.2372685185185187E-2</v>
      </c>
      <c r="E1091">
        <v>11.441000000000001</v>
      </c>
      <c r="F1091" s="2">
        <v>3.7037037037037038E-3</v>
      </c>
      <c r="G1091">
        <v>11.25</v>
      </c>
      <c r="H1091">
        <v>14.04</v>
      </c>
      <c r="I1091">
        <v>146</v>
      </c>
      <c r="J1091">
        <v>134</v>
      </c>
      <c r="K1091">
        <v>788</v>
      </c>
      <c r="L1091" s="2">
        <v>3.449074074074074E-3</v>
      </c>
      <c r="M1091" s="2">
        <v>1.7766203703703704E-2</v>
      </c>
      <c r="N1091" s="2">
        <v>3.6354166666666667E-2</v>
      </c>
      <c r="O1091" s="2">
        <v>0</v>
      </c>
      <c r="P1091" s="2">
        <v>0</v>
      </c>
    </row>
    <row r="1092" spans="1:16" x14ac:dyDescent="0.3">
      <c r="A1092" s="1">
        <v>45772.257453703707</v>
      </c>
      <c r="B1092" s="1">
        <v>45772.284386574072</v>
      </c>
      <c r="C1092">
        <v>38.79</v>
      </c>
      <c r="D1092" s="2">
        <v>2.6932870370370371E-2</v>
      </c>
      <c r="E1092">
        <v>10.131</v>
      </c>
      <c r="F1092" s="2">
        <v>2.650462962962963E-3</v>
      </c>
      <c r="G1092">
        <v>15.67</v>
      </c>
      <c r="H1092">
        <v>19.82</v>
      </c>
      <c r="I1092">
        <v>187</v>
      </c>
      <c r="J1092">
        <v>169</v>
      </c>
      <c r="K1092">
        <v>675</v>
      </c>
      <c r="L1092" s="2">
        <v>2.5000000000000001E-3</v>
      </c>
      <c r="M1092" s="2">
        <v>1.3229166666666667E-2</v>
      </c>
      <c r="N1092" s="2">
        <v>2.6620370370370371E-2</v>
      </c>
      <c r="O1092" s="2">
        <v>0</v>
      </c>
      <c r="P1092" s="2">
        <v>0</v>
      </c>
    </row>
    <row r="1093" spans="1:16" x14ac:dyDescent="0.3">
      <c r="A1093" s="1">
        <v>45772.644259259258</v>
      </c>
      <c r="B1093" s="1">
        <v>45772.681215277778</v>
      </c>
      <c r="C1093">
        <v>53.23</v>
      </c>
      <c r="D1093" s="2">
        <v>3.695601851851852E-2</v>
      </c>
      <c r="E1093">
        <v>11.11</v>
      </c>
      <c r="F1093" s="2">
        <v>3.3217592592592591E-3</v>
      </c>
      <c r="G1093">
        <v>12.52</v>
      </c>
      <c r="H1093">
        <v>14.81</v>
      </c>
      <c r="I1093">
        <v>156</v>
      </c>
      <c r="J1093">
        <v>144</v>
      </c>
      <c r="K1093">
        <v>756</v>
      </c>
      <c r="L1093" s="2">
        <v>3.1481481481481482E-3</v>
      </c>
      <c r="M1093" s="2">
        <v>1.6215277777777776E-2</v>
      </c>
      <c r="N1093" s="2">
        <v>3.3101851851851855E-2</v>
      </c>
      <c r="O1093" s="2">
        <v>0</v>
      </c>
      <c r="P1093" s="2">
        <v>0</v>
      </c>
    </row>
    <row r="1094" spans="1:16" x14ac:dyDescent="0.3">
      <c r="A1094" s="1">
        <v>45773.939282407409</v>
      </c>
      <c r="B1094" s="1">
        <v>45773.979942129627</v>
      </c>
      <c r="C1094">
        <v>58.56</v>
      </c>
      <c r="D1094" s="2">
        <v>4.0659722222222222E-2</v>
      </c>
      <c r="E1094">
        <v>11.106999999999999</v>
      </c>
      <c r="F1094" s="2">
        <v>3.6574074074074074E-3</v>
      </c>
      <c r="G1094">
        <v>11.38</v>
      </c>
      <c r="H1094">
        <v>17.059999999999999</v>
      </c>
      <c r="I1094">
        <v>157</v>
      </c>
      <c r="J1094">
        <v>142</v>
      </c>
      <c r="K1094">
        <v>794</v>
      </c>
      <c r="L1094" s="2">
        <v>3.460648148148148E-3</v>
      </c>
      <c r="M1094" s="2">
        <v>1.804398148148148E-2</v>
      </c>
      <c r="N1094" s="2">
        <v>3.650462962962963E-2</v>
      </c>
      <c r="O1094" s="2">
        <v>0</v>
      </c>
      <c r="P1094" s="2">
        <v>0</v>
      </c>
    </row>
    <row r="1095" spans="1:16" x14ac:dyDescent="0.3">
      <c r="A1095" s="1">
        <v>45774.955127314817</v>
      </c>
      <c r="B1095" s="1">
        <v>45774.996817129628</v>
      </c>
      <c r="C1095">
        <v>60.04</v>
      </c>
      <c r="D1095" s="2">
        <v>4.1689814814814811E-2</v>
      </c>
      <c r="E1095">
        <v>12.118</v>
      </c>
      <c r="F1095" s="2">
        <v>3.4375E-3</v>
      </c>
      <c r="G1095">
        <v>12.11</v>
      </c>
      <c r="H1095">
        <v>14.68</v>
      </c>
      <c r="I1095">
        <v>150</v>
      </c>
      <c r="J1095">
        <v>138</v>
      </c>
      <c r="K1095">
        <v>817</v>
      </c>
      <c r="L1095" s="2">
        <v>3.2754629629629631E-3</v>
      </c>
      <c r="M1095" s="2">
        <v>1.7037037037037038E-2</v>
      </c>
      <c r="N1095" s="2">
        <v>3.4270833333333334E-2</v>
      </c>
      <c r="O1095" s="2">
        <v>0</v>
      </c>
      <c r="P1095" s="2">
        <v>0</v>
      </c>
    </row>
    <row r="1096" spans="1:16" x14ac:dyDescent="0.3">
      <c r="A1096" s="1">
        <v>45775.788912037038</v>
      </c>
      <c r="B1096" s="1">
        <v>45775.80027777778</v>
      </c>
      <c r="C1096">
        <v>16.37</v>
      </c>
      <c r="D1096" s="2">
        <v>1.136574074074074E-2</v>
      </c>
      <c r="E1096">
        <v>3.0339999999999998</v>
      </c>
      <c r="F1096" s="2">
        <v>3.7384259259259259E-3</v>
      </c>
      <c r="G1096">
        <v>11.12</v>
      </c>
      <c r="H1096">
        <v>17.57</v>
      </c>
      <c r="I1096">
        <v>152</v>
      </c>
      <c r="J1096">
        <v>138</v>
      </c>
      <c r="K1096">
        <v>222</v>
      </c>
      <c r="L1096" s="2">
        <v>3.6226851851851854E-3</v>
      </c>
      <c r="M1096" s="2">
        <v>0</v>
      </c>
      <c r="N1096" s="2">
        <v>0</v>
      </c>
      <c r="O1096" s="2">
        <v>0</v>
      </c>
      <c r="P1096" s="2">
        <v>0</v>
      </c>
    </row>
    <row r="1097" spans="1:16" x14ac:dyDescent="0.3">
      <c r="A1097" s="1">
        <v>45775.813009259262</v>
      </c>
      <c r="B1097" s="1">
        <v>45775.832268518519</v>
      </c>
      <c r="C1097">
        <v>27.74</v>
      </c>
      <c r="D1097" s="2">
        <v>1.9259259259259261E-2</v>
      </c>
      <c r="E1097">
        <v>7.117</v>
      </c>
      <c r="F1097" s="2">
        <v>2.6967592592592594E-3</v>
      </c>
      <c r="G1097">
        <v>15.39</v>
      </c>
      <c r="H1097">
        <v>18.68</v>
      </c>
      <c r="I1097">
        <v>177</v>
      </c>
      <c r="J1097">
        <v>164</v>
      </c>
      <c r="K1097">
        <v>481</v>
      </c>
      <c r="L1097" s="2">
        <v>2.5694444444444445E-3</v>
      </c>
      <c r="M1097" s="2">
        <v>1.3449074074074073E-2</v>
      </c>
      <c r="N1097" s="2">
        <v>0</v>
      </c>
      <c r="O1097" s="2">
        <v>0</v>
      </c>
      <c r="P1097" s="2">
        <v>0</v>
      </c>
    </row>
    <row r="1098" spans="1:16" x14ac:dyDescent="0.3">
      <c r="A1098" s="1">
        <v>45777.90792824074</v>
      </c>
      <c r="B1098" s="1">
        <v>45777.984456018516</v>
      </c>
      <c r="C1098">
        <v>108.24</v>
      </c>
      <c r="D1098" s="2">
        <v>7.5162037037037041E-2</v>
      </c>
      <c r="E1098">
        <v>22.5</v>
      </c>
      <c r="F1098" s="2">
        <v>3.3333333333333335E-3</v>
      </c>
      <c r="G1098">
        <v>12.47</v>
      </c>
      <c r="H1098">
        <v>22.04</v>
      </c>
      <c r="I1098">
        <v>172</v>
      </c>
      <c r="J1098">
        <v>144</v>
      </c>
      <c r="K1098">
        <v>1523</v>
      </c>
      <c r="L1098" s="2">
        <v>2.9398148148148148E-3</v>
      </c>
      <c r="M1098" s="2">
        <v>1.5023148148148148E-2</v>
      </c>
      <c r="N1098" s="2">
        <v>3.1273148148148147E-2</v>
      </c>
      <c r="O1098" s="2">
        <v>7.0104166666666662E-2</v>
      </c>
      <c r="P1098" s="2">
        <v>0</v>
      </c>
    </row>
    <row r="1099" spans="1:16" x14ac:dyDescent="0.3">
      <c r="A1099" s="1">
        <v>45779.662430555552</v>
      </c>
      <c r="B1099" s="1">
        <v>45779.730358796296</v>
      </c>
      <c r="C1099">
        <v>94.29</v>
      </c>
      <c r="D1099" s="2">
        <v>6.5474537037037039E-2</v>
      </c>
      <c r="E1099">
        <v>18.248999999999999</v>
      </c>
      <c r="F1099" s="2">
        <v>3.5879629629629629E-3</v>
      </c>
      <c r="G1099">
        <v>11.61</v>
      </c>
      <c r="H1099">
        <v>15.45</v>
      </c>
      <c r="I1099">
        <v>150</v>
      </c>
      <c r="J1099">
        <v>136</v>
      </c>
      <c r="K1099">
        <v>1254</v>
      </c>
      <c r="L1099" s="2">
        <v>3.2638888888888891E-3</v>
      </c>
      <c r="M1099" s="2">
        <v>1.7314814814814814E-2</v>
      </c>
      <c r="N1099" s="2">
        <v>3.515046296296296E-2</v>
      </c>
      <c r="O1099" s="2">
        <v>0</v>
      </c>
      <c r="P1099" s="2">
        <v>0</v>
      </c>
    </row>
    <row r="1100" spans="1:16" x14ac:dyDescent="0.3">
      <c r="A1100" s="1">
        <v>45780.934745370374</v>
      </c>
      <c r="B1100" s="1">
        <v>45780.97693287037</v>
      </c>
      <c r="C1100">
        <v>60.75</v>
      </c>
      <c r="D1100" s="2">
        <v>4.2187500000000003E-2</v>
      </c>
      <c r="E1100">
        <v>12.305</v>
      </c>
      <c r="F1100" s="2">
        <v>3.425925925925926E-3</v>
      </c>
      <c r="G1100">
        <v>12.15</v>
      </c>
      <c r="H1100">
        <v>16.190000000000001</v>
      </c>
      <c r="I1100">
        <v>162</v>
      </c>
      <c r="J1100">
        <v>146</v>
      </c>
      <c r="K1100">
        <v>861</v>
      </c>
      <c r="L1100" s="2">
        <v>3.2407407407407406E-3</v>
      </c>
      <c r="M1100" s="2">
        <v>1.6643518518518519E-2</v>
      </c>
      <c r="N1100" s="2">
        <v>3.3888888888888892E-2</v>
      </c>
      <c r="O1100" s="2">
        <v>0</v>
      </c>
      <c r="P1100" s="2">
        <v>0</v>
      </c>
    </row>
    <row r="1101" spans="1:16" x14ac:dyDescent="0.3">
      <c r="A1101" s="1">
        <v>45781.907870370371</v>
      </c>
      <c r="B1101" s="1">
        <v>45781.964826388888</v>
      </c>
      <c r="C1101">
        <v>78.959999999999994</v>
      </c>
      <c r="D1101" s="2">
        <v>5.482638888888889E-2</v>
      </c>
      <c r="E1101">
        <v>17.303000000000001</v>
      </c>
      <c r="F1101" s="2">
        <v>3.1597222222222222E-3</v>
      </c>
      <c r="G1101">
        <v>13.15</v>
      </c>
      <c r="H1101">
        <v>15.85</v>
      </c>
      <c r="I1101">
        <v>165</v>
      </c>
      <c r="J1101">
        <v>146</v>
      </c>
      <c r="K1101">
        <v>1159</v>
      </c>
      <c r="L1101" s="2">
        <v>2.9629629629629628E-3</v>
      </c>
      <c r="M1101" s="2">
        <v>1.5266203703703704E-2</v>
      </c>
      <c r="N1101" s="2">
        <v>3.1053240740740742E-2</v>
      </c>
      <c r="O1101" s="2">
        <v>0</v>
      </c>
      <c r="P1101" s="2">
        <v>0</v>
      </c>
    </row>
    <row r="1102" spans="1:16" x14ac:dyDescent="0.3">
      <c r="A1102" s="1">
        <v>45783.918981481482</v>
      </c>
      <c r="B1102" s="1">
        <v>45783.971180555556</v>
      </c>
      <c r="C1102">
        <v>75.180000000000007</v>
      </c>
      <c r="D1102" s="2">
        <v>5.2199074074074071E-2</v>
      </c>
      <c r="E1102">
        <v>16.251000000000001</v>
      </c>
      <c r="F1102" s="2">
        <v>3.2060185185185186E-3</v>
      </c>
      <c r="G1102">
        <v>12.97</v>
      </c>
      <c r="H1102">
        <v>17</v>
      </c>
      <c r="I1102">
        <v>171</v>
      </c>
      <c r="J1102">
        <v>151</v>
      </c>
      <c r="K1102">
        <v>1125</v>
      </c>
      <c r="L1102" s="2">
        <v>2.8356481481481483E-3</v>
      </c>
      <c r="M1102" s="2">
        <v>1.5011574074074075E-2</v>
      </c>
      <c r="N1102" s="2">
        <v>3.1226851851851853E-2</v>
      </c>
      <c r="O1102" s="2">
        <v>0</v>
      </c>
      <c r="P1102" s="2">
        <v>0</v>
      </c>
    </row>
    <row r="1103" spans="1:16" x14ac:dyDescent="0.3">
      <c r="A1103" s="1">
        <v>45784.923425925925</v>
      </c>
      <c r="B1103" s="1">
        <v>45784.969131944446</v>
      </c>
      <c r="C1103">
        <v>62.17</v>
      </c>
      <c r="D1103" s="2">
        <v>4.3171296296296298E-2</v>
      </c>
      <c r="E1103">
        <v>12.55</v>
      </c>
      <c r="F1103" s="2">
        <v>3.4375E-3</v>
      </c>
      <c r="G1103">
        <v>12.11</v>
      </c>
      <c r="H1103">
        <v>14.04</v>
      </c>
      <c r="I1103">
        <v>157</v>
      </c>
      <c r="J1103">
        <v>140</v>
      </c>
      <c r="K1103">
        <v>851</v>
      </c>
      <c r="L1103" s="2">
        <v>3.1944444444444446E-3</v>
      </c>
      <c r="M1103" s="2">
        <v>1.6736111111111111E-2</v>
      </c>
      <c r="N1103" s="2">
        <v>3.4270833333333334E-2</v>
      </c>
      <c r="O1103" s="2">
        <v>0</v>
      </c>
      <c r="P1103" s="2">
        <v>0</v>
      </c>
    </row>
    <row r="1104" spans="1:16" x14ac:dyDescent="0.3">
      <c r="A1104" s="1">
        <v>45786.715266203704</v>
      </c>
      <c r="B1104" s="1">
        <v>45786.758657407408</v>
      </c>
      <c r="C1104">
        <v>62.49</v>
      </c>
      <c r="D1104" s="2">
        <v>4.3391203703703703E-2</v>
      </c>
      <c r="E1104">
        <v>12.755000000000001</v>
      </c>
      <c r="F1104" s="2">
        <v>3.3912037037037036E-3</v>
      </c>
      <c r="G1104">
        <v>12.25</v>
      </c>
      <c r="H1104">
        <v>16.39</v>
      </c>
      <c r="I1104">
        <v>165</v>
      </c>
      <c r="J1104">
        <v>147</v>
      </c>
      <c r="K1104">
        <v>898</v>
      </c>
      <c r="L1104" s="2">
        <v>3.1134259259259257E-3</v>
      </c>
      <c r="M1104" s="2">
        <v>1.6562500000000001E-2</v>
      </c>
      <c r="N1104" s="2">
        <v>3.349537037037037E-2</v>
      </c>
      <c r="O1104" s="2">
        <v>0</v>
      </c>
      <c r="P1104" s="2">
        <v>0</v>
      </c>
    </row>
    <row r="1105" spans="1:16" x14ac:dyDescent="0.3">
      <c r="A1105" s="1">
        <v>45787.918553240743</v>
      </c>
      <c r="B1105" s="1">
        <v>45787.976064814815</v>
      </c>
      <c r="C1105">
        <v>82.83</v>
      </c>
      <c r="D1105" s="2">
        <v>5.7511574074074076E-2</v>
      </c>
      <c r="E1105">
        <v>16.096</v>
      </c>
      <c r="F1105" s="2">
        <v>3.5648148148148149E-3</v>
      </c>
      <c r="G1105">
        <v>11.66</v>
      </c>
      <c r="H1105">
        <v>18.91</v>
      </c>
      <c r="I1105">
        <v>153</v>
      </c>
      <c r="J1105">
        <v>135</v>
      </c>
      <c r="K1105">
        <v>1079</v>
      </c>
      <c r="L1105" s="2">
        <v>3.0902777777777777E-3</v>
      </c>
      <c r="M1105" s="2">
        <v>1.6886574074074075E-2</v>
      </c>
      <c r="N1105" s="2">
        <v>3.5127314814814813E-2</v>
      </c>
      <c r="O1105" s="2">
        <v>0</v>
      </c>
      <c r="P1105" s="2">
        <v>0</v>
      </c>
    </row>
    <row r="1106" spans="1:16" x14ac:dyDescent="0.3">
      <c r="A1106" s="1">
        <v>45789.920844907407</v>
      </c>
      <c r="B1106" s="1">
        <v>45789.986944444441</v>
      </c>
      <c r="C1106">
        <v>95.2</v>
      </c>
      <c r="D1106" s="2">
        <v>6.609953703703704E-2</v>
      </c>
      <c r="E1106">
        <v>21.5</v>
      </c>
      <c r="F1106" s="2">
        <v>3.0671296296296297E-3</v>
      </c>
      <c r="G1106">
        <v>13.55</v>
      </c>
      <c r="H1106">
        <v>15.32</v>
      </c>
      <c r="I1106">
        <v>168</v>
      </c>
      <c r="J1106">
        <v>153</v>
      </c>
      <c r="K1106">
        <v>1436</v>
      </c>
      <c r="L1106" s="2">
        <v>2.8124999999999999E-3</v>
      </c>
      <c r="M1106" s="2">
        <v>1.474537037037037E-2</v>
      </c>
      <c r="N1106" s="2">
        <v>0.03</v>
      </c>
      <c r="O1106" s="2">
        <v>6.4849537037037039E-2</v>
      </c>
      <c r="P1106" s="2">
        <v>0</v>
      </c>
    </row>
    <row r="1107" spans="1:16" x14ac:dyDescent="0.3">
      <c r="A1107" s="1">
        <v>45791.885324074072</v>
      </c>
      <c r="B1107" s="1">
        <v>45791.961296296293</v>
      </c>
      <c r="C1107">
        <v>109.4</v>
      </c>
      <c r="D1107" s="2">
        <v>7.5972222222222219E-2</v>
      </c>
      <c r="E1107">
        <v>21.254999999999999</v>
      </c>
      <c r="F1107" s="2">
        <v>3.5648148148148149E-3</v>
      </c>
      <c r="G1107">
        <v>11.66</v>
      </c>
      <c r="H1107">
        <v>15.02</v>
      </c>
      <c r="I1107">
        <v>156</v>
      </c>
      <c r="J1107">
        <v>136</v>
      </c>
      <c r="K1107">
        <v>1469</v>
      </c>
      <c r="L1107" s="2">
        <v>3.3796296296296296E-3</v>
      </c>
      <c r="M1107" s="2">
        <v>1.7638888888888888E-2</v>
      </c>
      <c r="N1107" s="2">
        <v>3.5428240740740739E-2</v>
      </c>
      <c r="O1107" s="2">
        <v>7.5416666666666674E-2</v>
      </c>
      <c r="P1107" s="2">
        <v>0</v>
      </c>
    </row>
    <row r="1108" spans="1:16" x14ac:dyDescent="0.3">
      <c r="A1108" s="1">
        <v>45793.713425925926</v>
      </c>
      <c r="B1108" s="1">
        <v>45793.763749999998</v>
      </c>
      <c r="C1108">
        <v>72.47</v>
      </c>
      <c r="D1108" s="2">
        <v>5.0324074074074077E-2</v>
      </c>
      <c r="E1108">
        <v>14.099</v>
      </c>
      <c r="F1108" s="2">
        <v>3.5648148148148149E-3</v>
      </c>
      <c r="G1108">
        <v>11.67</v>
      </c>
      <c r="H1108">
        <v>13.81</v>
      </c>
      <c r="I1108">
        <v>158</v>
      </c>
      <c r="J1108">
        <v>139</v>
      </c>
      <c r="K1108">
        <v>979</v>
      </c>
      <c r="L1108" s="2">
        <v>3.2407407407407406E-3</v>
      </c>
      <c r="M1108" s="2">
        <v>1.7627314814814814E-2</v>
      </c>
      <c r="N1108" s="2">
        <v>3.5381944444444445E-2</v>
      </c>
      <c r="O1108" s="2">
        <v>0</v>
      </c>
      <c r="P1108" s="2">
        <v>0</v>
      </c>
    </row>
    <row r="1109" spans="1:16" x14ac:dyDescent="0.3">
      <c r="A1109" s="1">
        <v>45794.926793981482</v>
      </c>
      <c r="B1109" s="1">
        <v>45794.979201388887</v>
      </c>
      <c r="C1109">
        <v>73.319999999999993</v>
      </c>
      <c r="D1109" s="2">
        <v>5.091435185185185E-2</v>
      </c>
      <c r="E1109">
        <v>15.247</v>
      </c>
      <c r="F1109" s="2">
        <v>3.3333333333333335E-3</v>
      </c>
      <c r="G1109">
        <v>12.48</v>
      </c>
      <c r="H1109">
        <v>14.38</v>
      </c>
      <c r="I1109">
        <v>158</v>
      </c>
      <c r="J1109">
        <v>143</v>
      </c>
      <c r="K1109">
        <v>1031</v>
      </c>
      <c r="L1109" s="2">
        <v>3.1365740740740742E-3</v>
      </c>
      <c r="M1109" s="2">
        <v>1.6215277777777776E-2</v>
      </c>
      <c r="N1109" s="2">
        <v>3.2812500000000001E-2</v>
      </c>
      <c r="O1109" s="2">
        <v>0</v>
      </c>
      <c r="P1109" s="2">
        <v>0</v>
      </c>
    </row>
    <row r="1110" spans="1:16" x14ac:dyDescent="0.3">
      <c r="A1110" s="1">
        <v>45796.932800925926</v>
      </c>
      <c r="B1110" s="1">
        <v>45796.984479166669</v>
      </c>
      <c r="C1110">
        <v>71.42</v>
      </c>
      <c r="D1110" s="2">
        <v>4.9594907407407407E-2</v>
      </c>
      <c r="E1110">
        <v>16.248999999999999</v>
      </c>
      <c r="F1110" s="2">
        <v>3.0439814814814813E-3</v>
      </c>
      <c r="G1110">
        <v>13.65</v>
      </c>
      <c r="H1110">
        <v>17.670000000000002</v>
      </c>
      <c r="I1110">
        <v>165</v>
      </c>
      <c r="J1110">
        <v>151</v>
      </c>
      <c r="K1110">
        <v>1082</v>
      </c>
      <c r="L1110" s="2">
        <v>2.7777777777777779E-3</v>
      </c>
      <c r="M1110" s="2">
        <v>1.4768518518518519E-2</v>
      </c>
      <c r="N1110" s="2">
        <v>2.9895833333333333E-2</v>
      </c>
      <c r="O1110" s="2">
        <v>0</v>
      </c>
      <c r="P1110" s="2">
        <v>0</v>
      </c>
    </row>
    <row r="1111" spans="1:16" x14ac:dyDescent="0.3">
      <c r="A1111" s="1">
        <v>45797.897361111114</v>
      </c>
      <c r="B1111" s="1">
        <v>45797.939953703702</v>
      </c>
      <c r="C1111">
        <v>61.33</v>
      </c>
      <c r="D1111" s="2">
        <v>4.2592592592592592E-2</v>
      </c>
      <c r="E1111">
        <v>12.497999999999999</v>
      </c>
      <c r="F1111" s="2">
        <v>3.4027777777777776E-3</v>
      </c>
      <c r="G1111">
        <v>12.23</v>
      </c>
      <c r="H1111">
        <v>14.08</v>
      </c>
      <c r="I1111">
        <v>151</v>
      </c>
      <c r="J1111">
        <v>138</v>
      </c>
      <c r="K1111">
        <v>841</v>
      </c>
      <c r="L1111" s="2">
        <v>3.0902777777777777E-3</v>
      </c>
      <c r="M1111" s="2">
        <v>1.653935185185185E-2</v>
      </c>
      <c r="N1111" s="2">
        <v>3.3923611111111113E-2</v>
      </c>
      <c r="O1111" s="2">
        <v>0</v>
      </c>
      <c r="P1111" s="2">
        <v>0</v>
      </c>
    </row>
    <row r="1112" spans="1:16" x14ac:dyDescent="0.3">
      <c r="A1112" s="1">
        <v>45798.951770833337</v>
      </c>
      <c r="B1112" s="1">
        <v>45798.986562500002</v>
      </c>
      <c r="C1112">
        <v>50.11</v>
      </c>
      <c r="D1112" s="2">
        <v>3.4791666666666665E-2</v>
      </c>
      <c r="E1112">
        <v>10.045999999999999</v>
      </c>
      <c r="F1112" s="2">
        <v>3.460648148148148E-3</v>
      </c>
      <c r="G1112">
        <v>12.03</v>
      </c>
      <c r="H1112">
        <v>14.44</v>
      </c>
      <c r="I1112">
        <v>162</v>
      </c>
      <c r="J1112">
        <v>138</v>
      </c>
      <c r="K1112">
        <v>683</v>
      </c>
      <c r="L1112" s="2">
        <v>3.3217592592592591E-3</v>
      </c>
      <c r="M1112" s="2">
        <v>1.7222222222222222E-2</v>
      </c>
      <c r="N1112" s="2">
        <v>3.4641203703703702E-2</v>
      </c>
      <c r="O1112" s="2">
        <v>0</v>
      </c>
      <c r="P1112" s="2">
        <v>0</v>
      </c>
    </row>
    <row r="1113" spans="1:16" x14ac:dyDescent="0.3">
      <c r="A1113" s="1">
        <v>45800.702870370369</v>
      </c>
      <c r="B1113" s="1">
        <v>45800.773819444446</v>
      </c>
      <c r="C1113">
        <v>99.03</v>
      </c>
      <c r="D1113" s="2">
        <v>6.8773148148148153E-2</v>
      </c>
      <c r="E1113">
        <v>21.495999999999999</v>
      </c>
      <c r="F1113" s="2">
        <v>3.1944444444444446E-3</v>
      </c>
      <c r="G1113">
        <v>13.02</v>
      </c>
      <c r="H1113">
        <v>15.05</v>
      </c>
      <c r="I1113">
        <v>166</v>
      </c>
      <c r="J1113">
        <v>150</v>
      </c>
      <c r="K1113">
        <v>1459</v>
      </c>
      <c r="L1113" s="2">
        <v>2.8703703703703703E-3</v>
      </c>
      <c r="M1113" s="2">
        <v>1.5243055555555555E-2</v>
      </c>
      <c r="N1113" s="2">
        <v>3.1469907407407405E-2</v>
      </c>
      <c r="O1113" s="2">
        <v>6.7418981481481483E-2</v>
      </c>
      <c r="P1113" s="2">
        <v>0</v>
      </c>
    </row>
    <row r="1114" spans="1:16" x14ac:dyDescent="0.3">
      <c r="A1114" s="1">
        <v>45801.961921296293</v>
      </c>
      <c r="B1114" s="1">
        <v>45801.995520833334</v>
      </c>
      <c r="C1114">
        <v>48.39</v>
      </c>
      <c r="D1114" s="2">
        <v>3.3599537037037039E-2</v>
      </c>
      <c r="E1114">
        <v>10.249000000000001</v>
      </c>
      <c r="F1114" s="2">
        <v>3.2754629629629631E-3</v>
      </c>
      <c r="G1114">
        <v>12.71</v>
      </c>
      <c r="H1114">
        <v>14.08</v>
      </c>
      <c r="I1114">
        <v>152</v>
      </c>
      <c r="J1114">
        <v>142</v>
      </c>
      <c r="K1114">
        <v>691</v>
      </c>
      <c r="L1114" s="2">
        <v>3.1712962962962962E-3</v>
      </c>
      <c r="M1114" s="2">
        <v>1.6250000000000001E-2</v>
      </c>
      <c r="N1114" s="2">
        <v>3.2754629629629627E-2</v>
      </c>
      <c r="O1114" s="2">
        <v>0</v>
      </c>
      <c r="P1114" s="2">
        <v>0</v>
      </c>
    </row>
    <row r="1115" spans="1:16" x14ac:dyDescent="0.3">
      <c r="A1115" s="1">
        <v>45802.886331018519</v>
      </c>
      <c r="B1115" s="1">
        <v>45802.894618055558</v>
      </c>
      <c r="C1115">
        <v>11.78</v>
      </c>
      <c r="D1115" s="2">
        <v>8.1712962962962963E-3</v>
      </c>
      <c r="E1115">
        <v>2.0539999999999998</v>
      </c>
      <c r="F1115" s="2">
        <v>3.9814814814814817E-3</v>
      </c>
      <c r="G1115">
        <v>10.46</v>
      </c>
      <c r="H1115">
        <v>14.01</v>
      </c>
      <c r="I1115">
        <v>139</v>
      </c>
      <c r="J1115">
        <v>125</v>
      </c>
      <c r="K1115">
        <v>145</v>
      </c>
      <c r="L1115" s="2">
        <v>3.9467592592592592E-3</v>
      </c>
      <c r="M1115" s="2">
        <v>0</v>
      </c>
      <c r="N1115" s="2">
        <v>0</v>
      </c>
      <c r="O1115" s="2">
        <v>0</v>
      </c>
      <c r="P1115" s="2">
        <v>0</v>
      </c>
    </row>
    <row r="1116" spans="1:16" x14ac:dyDescent="0.3">
      <c r="A1116" s="1">
        <v>45802.896620370368</v>
      </c>
      <c r="B1116" s="1">
        <v>45802.938634259262</v>
      </c>
      <c r="C1116">
        <v>60.5</v>
      </c>
      <c r="D1116" s="2">
        <v>4.2013888888888892E-2</v>
      </c>
      <c r="E1116">
        <v>13.25</v>
      </c>
      <c r="F1116" s="2">
        <v>3.1597222222222222E-3</v>
      </c>
      <c r="G1116">
        <v>13.14</v>
      </c>
      <c r="H1116">
        <v>16.559999999999999</v>
      </c>
      <c r="I1116">
        <v>167</v>
      </c>
      <c r="J1116">
        <v>149</v>
      </c>
      <c r="K1116">
        <v>892</v>
      </c>
      <c r="L1116" s="2">
        <v>2.7199074074074074E-3</v>
      </c>
      <c r="M1116" s="2">
        <v>1.5208333333333334E-2</v>
      </c>
      <c r="N1116" s="2">
        <v>3.138888888888889E-2</v>
      </c>
      <c r="O1116" s="2">
        <v>0</v>
      </c>
      <c r="P1116" s="2">
        <v>0</v>
      </c>
    </row>
    <row r="1117" spans="1:16" x14ac:dyDescent="0.3">
      <c r="A1117" s="1">
        <v>45804.941053240742</v>
      </c>
      <c r="B1117" s="1">
        <v>45804.999374999999</v>
      </c>
      <c r="C1117">
        <v>84</v>
      </c>
      <c r="D1117" s="2">
        <v>5.8321759259259261E-2</v>
      </c>
      <c r="E1117">
        <v>17.748999999999999</v>
      </c>
      <c r="F1117" s="2">
        <v>3.2754629629629631E-3</v>
      </c>
      <c r="G1117">
        <v>12.68</v>
      </c>
      <c r="H1117">
        <v>18</v>
      </c>
      <c r="I1117">
        <v>165</v>
      </c>
      <c r="J1117">
        <v>144</v>
      </c>
      <c r="K1117">
        <v>1200</v>
      </c>
      <c r="L1117" s="2">
        <v>2.5925925925925925E-3</v>
      </c>
      <c r="M1117" s="2">
        <v>1.5173611111111112E-2</v>
      </c>
      <c r="N1117" s="2">
        <v>3.2083333333333332E-2</v>
      </c>
      <c r="O1117" s="2">
        <v>0</v>
      </c>
      <c r="P1117" s="2">
        <v>0</v>
      </c>
    </row>
    <row r="1118" spans="1:16" x14ac:dyDescent="0.3">
      <c r="A1118" s="1">
        <v>45806.87572916667</v>
      </c>
      <c r="B1118" s="1">
        <v>45806.91747685185</v>
      </c>
      <c r="C1118">
        <v>54.95</v>
      </c>
      <c r="D1118" s="2">
        <v>3.815972222222222E-2</v>
      </c>
      <c r="E1118">
        <v>10.247999999999999</v>
      </c>
      <c r="F1118" s="2">
        <v>3.7152777777777778E-3</v>
      </c>
      <c r="G1118">
        <v>11.19</v>
      </c>
      <c r="H1118">
        <v>12.83</v>
      </c>
      <c r="I1118">
        <v>144</v>
      </c>
      <c r="J1118">
        <v>131</v>
      </c>
      <c r="K1118">
        <v>709</v>
      </c>
      <c r="L1118" s="2">
        <v>3.5879629629629629E-3</v>
      </c>
      <c r="M1118" s="2">
        <v>1.8159722222222223E-2</v>
      </c>
      <c r="N1118" s="2">
        <v>3.7152777777777778E-2</v>
      </c>
      <c r="O1118" s="2">
        <v>0</v>
      </c>
      <c r="P1118" s="2">
        <v>0</v>
      </c>
    </row>
    <row r="1119" spans="1:16" x14ac:dyDescent="0.3">
      <c r="A1119" s="1">
        <v>45807.229062500002</v>
      </c>
      <c r="B1119" s="1">
        <v>45807.32340277778</v>
      </c>
      <c r="C1119">
        <v>129.28</v>
      </c>
      <c r="D1119" s="2">
        <v>8.9768518518518525E-2</v>
      </c>
      <c r="E1119">
        <v>28.25</v>
      </c>
      <c r="F1119" s="2">
        <v>3.1712962962962962E-3</v>
      </c>
      <c r="G1119">
        <v>13.11</v>
      </c>
      <c r="H1119">
        <v>16.690000000000001</v>
      </c>
      <c r="I1119">
        <v>170</v>
      </c>
      <c r="J1119">
        <v>152</v>
      </c>
      <c r="K1119">
        <v>1922</v>
      </c>
      <c r="L1119" s="2">
        <v>2.8009259259259259E-3</v>
      </c>
      <c r="M1119" s="2">
        <v>1.5162037037037036E-2</v>
      </c>
      <c r="N1119" s="2">
        <v>3.0983796296296297E-2</v>
      </c>
      <c r="O1119" s="2">
        <v>6.6041666666666665E-2</v>
      </c>
      <c r="P1119" s="2">
        <v>0</v>
      </c>
    </row>
    <row r="1120" spans="1:16" x14ac:dyDescent="0.3">
      <c r="A1120" s="1">
        <v>45808.95144675926</v>
      </c>
      <c r="B1120" s="1">
        <v>45808.974398148152</v>
      </c>
      <c r="C1120">
        <v>33.06</v>
      </c>
      <c r="D1120" s="2">
        <v>2.2951388888888889E-2</v>
      </c>
      <c r="E1120">
        <v>6.2510000000000003</v>
      </c>
      <c r="F1120" s="2">
        <v>3.6689814814814814E-3</v>
      </c>
      <c r="G1120">
        <v>11.35</v>
      </c>
      <c r="H1120">
        <v>12.5</v>
      </c>
      <c r="I1120">
        <v>149</v>
      </c>
      <c r="J1120">
        <v>138</v>
      </c>
      <c r="K1120">
        <v>451</v>
      </c>
      <c r="L1120" s="2">
        <v>3.5416666666666665E-3</v>
      </c>
      <c r="M1120" s="2">
        <v>1.818287037037037E-2</v>
      </c>
      <c r="N1120" s="2">
        <v>0</v>
      </c>
      <c r="O1120" s="2">
        <v>0</v>
      </c>
      <c r="P1120" s="2">
        <v>0</v>
      </c>
    </row>
    <row r="1121" spans="1:16" x14ac:dyDescent="0.3">
      <c r="A1121" s="1">
        <v>45809.731030092589</v>
      </c>
      <c r="B1121" s="1">
        <v>45809.77579861111</v>
      </c>
      <c r="C1121">
        <v>64.48</v>
      </c>
      <c r="D1121" s="2">
        <v>4.476851851851852E-2</v>
      </c>
      <c r="E1121">
        <v>13.247999999999999</v>
      </c>
      <c r="F1121" s="2">
        <v>3.3796296296296296E-3</v>
      </c>
      <c r="G1121">
        <v>12.33</v>
      </c>
      <c r="H1121">
        <v>16.23</v>
      </c>
      <c r="I1121">
        <v>162</v>
      </c>
      <c r="J1121">
        <v>145</v>
      </c>
      <c r="K1121">
        <v>910</v>
      </c>
      <c r="L1121" s="2">
        <v>3.1597222222222222E-3</v>
      </c>
      <c r="M1121" s="2">
        <v>1.6516203703703703E-2</v>
      </c>
      <c r="N1121" s="2">
        <v>3.3402777777777781E-2</v>
      </c>
      <c r="O1121" s="2">
        <v>0</v>
      </c>
      <c r="P1121" s="2">
        <v>0</v>
      </c>
    </row>
    <row r="1122" spans="1:16" x14ac:dyDescent="0.3">
      <c r="A1122" s="1">
        <v>45811.9690625</v>
      </c>
      <c r="B1122" s="1">
        <v>45811.999444444446</v>
      </c>
      <c r="C1122">
        <v>43.76</v>
      </c>
      <c r="D1122" s="2">
        <v>3.0381944444444444E-2</v>
      </c>
      <c r="E1122">
        <v>10.102</v>
      </c>
      <c r="F1122" s="2">
        <v>2.9976851851851853E-3</v>
      </c>
      <c r="G1122">
        <v>13.85</v>
      </c>
      <c r="H1122">
        <v>15.28</v>
      </c>
      <c r="I1122">
        <v>166</v>
      </c>
      <c r="J1122">
        <v>157</v>
      </c>
      <c r="K1122">
        <v>687</v>
      </c>
      <c r="L1122" s="2">
        <v>2.8587962962962963E-3</v>
      </c>
      <c r="M1122" s="2">
        <v>1.4710648148148148E-2</v>
      </c>
      <c r="N1122" s="2">
        <v>3.0092592592592591E-2</v>
      </c>
      <c r="O1122" s="2">
        <v>0</v>
      </c>
      <c r="P1122" s="2">
        <v>0</v>
      </c>
    </row>
    <row r="1123" spans="1:16" x14ac:dyDescent="0.3">
      <c r="A1123" s="1">
        <v>45812.001423611109</v>
      </c>
      <c r="B1123" s="1">
        <v>45812.023680555554</v>
      </c>
      <c r="C1123">
        <v>32.07</v>
      </c>
      <c r="D1123" s="2">
        <v>2.2256944444444444E-2</v>
      </c>
      <c r="E1123">
        <v>6.2469999999999999</v>
      </c>
      <c r="F1123" s="2">
        <v>3.5532407407407409E-3</v>
      </c>
      <c r="G1123">
        <v>11.69</v>
      </c>
      <c r="H1123">
        <v>13.13</v>
      </c>
      <c r="I1123">
        <v>153</v>
      </c>
      <c r="J1123">
        <v>139</v>
      </c>
      <c r="K1123">
        <v>437</v>
      </c>
      <c r="L1123" s="2">
        <v>3.449074074074074E-3</v>
      </c>
      <c r="M1123" s="2">
        <v>1.773148148148148E-2</v>
      </c>
      <c r="N1123" s="2">
        <v>0</v>
      </c>
      <c r="O1123" s="2">
        <v>0</v>
      </c>
      <c r="P1123" s="2">
        <v>0</v>
      </c>
    </row>
    <row r="1124" spans="1:16" x14ac:dyDescent="0.3">
      <c r="A1124" s="1">
        <v>45813.812465277777</v>
      </c>
      <c r="B1124" s="1">
        <v>45813.858946759261</v>
      </c>
      <c r="C1124">
        <v>63.37</v>
      </c>
      <c r="D1124" s="2">
        <v>4.400462962962963E-2</v>
      </c>
      <c r="E1124">
        <v>12.503</v>
      </c>
      <c r="F1124" s="2">
        <v>3.5185185185185185E-3</v>
      </c>
      <c r="G1124">
        <v>11.84</v>
      </c>
      <c r="H1124">
        <v>13.67</v>
      </c>
      <c r="I1124">
        <v>157</v>
      </c>
      <c r="J1124">
        <v>138</v>
      </c>
      <c r="K1124">
        <v>853</v>
      </c>
      <c r="L1124" s="2">
        <v>3.1134259259259257E-3</v>
      </c>
      <c r="M1124" s="2">
        <v>1.6689814814814814E-2</v>
      </c>
      <c r="N1124" s="2">
        <v>3.408564814814815E-2</v>
      </c>
      <c r="O1124" s="2">
        <v>0</v>
      </c>
      <c r="P1124" s="2">
        <v>0</v>
      </c>
    </row>
    <row r="1125" spans="1:16" x14ac:dyDescent="0.3">
      <c r="A1125" s="1">
        <v>45814.219340277778</v>
      </c>
      <c r="B1125" s="1">
        <v>45814.327615740738</v>
      </c>
      <c r="C1125">
        <v>145.06</v>
      </c>
      <c r="D1125" s="2">
        <v>0.10072916666666666</v>
      </c>
      <c r="E1125">
        <v>30.25</v>
      </c>
      <c r="F1125" s="2">
        <v>3.3217592592592591E-3</v>
      </c>
      <c r="G1125">
        <v>12.51</v>
      </c>
      <c r="H1125">
        <v>14.08</v>
      </c>
      <c r="I1125">
        <v>169</v>
      </c>
      <c r="J1125">
        <v>149</v>
      </c>
      <c r="K1125">
        <v>2079</v>
      </c>
      <c r="L1125" s="2">
        <v>3.1018518518518517E-3</v>
      </c>
      <c r="M1125" s="2">
        <v>1.6030092592592592E-2</v>
      </c>
      <c r="N1125" s="2">
        <v>3.2384259259259258E-2</v>
      </c>
      <c r="O1125" s="2">
        <v>6.895833333333333E-2</v>
      </c>
      <c r="P1125" s="2">
        <v>0</v>
      </c>
    </row>
    <row r="1126" spans="1:16" x14ac:dyDescent="0.3">
      <c r="A1126" s="1">
        <v>45815.957870370374</v>
      </c>
      <c r="B1126" s="1">
        <v>45815.99863425926</v>
      </c>
      <c r="C1126">
        <v>58.7</v>
      </c>
      <c r="D1126" s="2">
        <v>4.0763888888888891E-2</v>
      </c>
      <c r="E1126">
        <v>11.247999999999999</v>
      </c>
      <c r="F1126" s="2">
        <v>3.6226851851851854E-3</v>
      </c>
      <c r="G1126">
        <v>11.5</v>
      </c>
      <c r="H1126">
        <v>12.36</v>
      </c>
      <c r="I1126">
        <v>151</v>
      </c>
      <c r="J1126">
        <v>138</v>
      </c>
      <c r="K1126">
        <v>777</v>
      </c>
      <c r="L1126" s="2">
        <v>3.460648148148148E-3</v>
      </c>
      <c r="M1126" s="2">
        <v>1.7905092592592594E-2</v>
      </c>
      <c r="N1126" s="2">
        <v>3.6168981481481483E-2</v>
      </c>
      <c r="O1126" s="2">
        <v>0</v>
      </c>
      <c r="P1126" s="2">
        <v>0</v>
      </c>
    </row>
    <row r="1127" spans="1:16" x14ac:dyDescent="0.3">
      <c r="A1127" s="1">
        <v>45817.336215277777</v>
      </c>
      <c r="B1127" s="1">
        <v>45817.388738425929</v>
      </c>
      <c r="C1127">
        <v>73.3</v>
      </c>
      <c r="D1127" s="2">
        <v>5.0891203703703702E-2</v>
      </c>
      <c r="E1127">
        <v>16.25</v>
      </c>
      <c r="F1127" s="2">
        <v>3.1250000000000002E-3</v>
      </c>
      <c r="G1127">
        <v>13.3</v>
      </c>
      <c r="H1127">
        <v>15.75</v>
      </c>
      <c r="I1127">
        <v>174</v>
      </c>
      <c r="J1127">
        <v>153</v>
      </c>
      <c r="K1127">
        <v>1105</v>
      </c>
      <c r="L1127" s="2">
        <v>2.7662037037037039E-3</v>
      </c>
      <c r="M1127" s="2">
        <v>1.4363425925925925E-2</v>
      </c>
      <c r="N1127" s="2">
        <v>3.0405092592592591E-2</v>
      </c>
      <c r="O1127" s="2">
        <v>0</v>
      </c>
      <c r="P1127" s="2">
        <v>0</v>
      </c>
    </row>
    <row r="1128" spans="1:16" x14ac:dyDescent="0.3">
      <c r="A1128" s="1">
        <v>45818.873645833337</v>
      </c>
      <c r="B1128" s="1">
        <v>45818.929780092592</v>
      </c>
      <c r="C1128">
        <v>79.02</v>
      </c>
      <c r="D1128" s="2">
        <v>5.4872685185185184E-2</v>
      </c>
      <c r="E1128">
        <v>15.25</v>
      </c>
      <c r="F1128" s="2">
        <v>3.5879629629629629E-3</v>
      </c>
      <c r="G1128">
        <v>11.58</v>
      </c>
      <c r="H1128">
        <v>14.01</v>
      </c>
      <c r="I1128">
        <v>163</v>
      </c>
      <c r="J1128">
        <v>138</v>
      </c>
      <c r="K1128">
        <v>1043</v>
      </c>
      <c r="L1128" s="2">
        <v>3.1828703703703702E-3</v>
      </c>
      <c r="M1128" s="2">
        <v>1.7060185185185185E-2</v>
      </c>
      <c r="N1128" s="2">
        <v>3.4965277777777776E-2</v>
      </c>
      <c r="O1128" s="2">
        <v>0</v>
      </c>
      <c r="P1128" s="2">
        <v>0</v>
      </c>
    </row>
    <row r="1129" spans="1:16" x14ac:dyDescent="0.3">
      <c r="A1129" s="1">
        <v>45820.869328703702</v>
      </c>
      <c r="B1129" s="1">
        <v>45820.879363425927</v>
      </c>
      <c r="C1129">
        <v>14.46</v>
      </c>
      <c r="D1129" s="2">
        <v>1.0034722222222223E-2</v>
      </c>
      <c r="E1129">
        <v>2.536</v>
      </c>
      <c r="F1129" s="2">
        <v>3.9583333333333337E-3</v>
      </c>
      <c r="G1129">
        <v>10.53</v>
      </c>
      <c r="H1129">
        <v>15.08</v>
      </c>
      <c r="I1129">
        <v>148</v>
      </c>
      <c r="J1129">
        <v>134</v>
      </c>
      <c r="K1129">
        <v>190</v>
      </c>
      <c r="L1129" s="2">
        <v>3.449074074074074E-3</v>
      </c>
      <c r="M1129" s="2">
        <v>0</v>
      </c>
      <c r="N1129" s="2">
        <v>0</v>
      </c>
      <c r="O1129" s="2">
        <v>0</v>
      </c>
      <c r="P1129" s="2">
        <v>0</v>
      </c>
    </row>
    <row r="1130" spans="1:16" x14ac:dyDescent="0.3">
      <c r="A1130" s="1">
        <v>45820.896168981482</v>
      </c>
      <c r="B1130" s="1">
        <v>45820.909548611111</v>
      </c>
      <c r="C1130">
        <v>19.28</v>
      </c>
      <c r="D1130" s="2">
        <v>1.337962962962963E-2</v>
      </c>
      <c r="E1130">
        <v>5.0359999999999996</v>
      </c>
      <c r="F1130" s="2">
        <v>2.650462962962963E-3</v>
      </c>
      <c r="G1130">
        <v>15.68</v>
      </c>
      <c r="H1130">
        <v>18.78</v>
      </c>
      <c r="I1130">
        <v>180</v>
      </c>
      <c r="J1130">
        <v>166</v>
      </c>
      <c r="K1130">
        <v>326</v>
      </c>
      <c r="L1130" s="2">
        <v>2.4305555555555556E-3</v>
      </c>
      <c r="M1130" s="2">
        <v>1.3298611111111112E-2</v>
      </c>
      <c r="N1130" s="2">
        <v>0</v>
      </c>
      <c r="O1130" s="2">
        <v>0</v>
      </c>
      <c r="P1130" s="2">
        <v>0</v>
      </c>
    </row>
    <row r="1131" spans="1:16" x14ac:dyDescent="0.3">
      <c r="A1131" s="1">
        <v>45823.895682870374</v>
      </c>
      <c r="B1131" s="1">
        <v>45823.949571759258</v>
      </c>
      <c r="C1131">
        <v>77.59</v>
      </c>
      <c r="D1131" s="2">
        <v>5.3877314814814815E-2</v>
      </c>
      <c r="E1131">
        <v>15.250999999999999</v>
      </c>
      <c r="F1131" s="2">
        <v>3.5300925925925925E-3</v>
      </c>
      <c r="G1131">
        <v>11.79</v>
      </c>
      <c r="H1131">
        <v>13.74</v>
      </c>
      <c r="I1131">
        <v>155</v>
      </c>
      <c r="J1131">
        <v>140</v>
      </c>
      <c r="K1131">
        <v>1054</v>
      </c>
      <c r="L1131" s="2">
        <v>3.3680555555555556E-3</v>
      </c>
      <c r="M1131" s="2">
        <v>1.7418981481481483E-2</v>
      </c>
      <c r="N1131" s="2">
        <v>3.5277777777777776E-2</v>
      </c>
      <c r="O1131" s="2">
        <v>0</v>
      </c>
      <c r="P1131" s="2">
        <v>0</v>
      </c>
    </row>
    <row r="1132" spans="1:16" x14ac:dyDescent="0.3">
      <c r="A1132" s="1">
        <v>45824.796458333331</v>
      </c>
      <c r="B1132" s="1">
        <v>45824.84883101852</v>
      </c>
      <c r="C1132">
        <v>72.59</v>
      </c>
      <c r="D1132" s="2">
        <v>5.0405092592592592E-2</v>
      </c>
      <c r="E1132">
        <v>15.497999999999999</v>
      </c>
      <c r="F1132" s="2">
        <v>3.2523148148148147E-3</v>
      </c>
      <c r="G1132">
        <v>12.81</v>
      </c>
      <c r="H1132">
        <v>14.48</v>
      </c>
      <c r="I1132">
        <v>178</v>
      </c>
      <c r="J1132">
        <v>154</v>
      </c>
      <c r="K1132">
        <v>1092</v>
      </c>
      <c r="L1132" s="2">
        <v>3.0092592592592593E-3</v>
      </c>
      <c r="M1132" s="2">
        <v>1.5717592592592592E-2</v>
      </c>
      <c r="N1132" s="2">
        <v>3.1990740740740743E-2</v>
      </c>
      <c r="O1132" s="2">
        <v>0</v>
      </c>
      <c r="P1132" s="2">
        <v>0</v>
      </c>
    </row>
    <row r="1133" spans="1:16" x14ac:dyDescent="0.3">
      <c r="A1133" s="1">
        <v>45826.906539351854</v>
      </c>
      <c r="B1133" s="1">
        <v>45826.953865740739</v>
      </c>
      <c r="C1133">
        <v>68.16</v>
      </c>
      <c r="D1133" s="2">
        <v>4.732638888888889E-2</v>
      </c>
      <c r="E1133">
        <v>15.247</v>
      </c>
      <c r="F1133" s="2">
        <v>3.1018518518518517E-3</v>
      </c>
      <c r="G1133">
        <v>13.42</v>
      </c>
      <c r="H1133">
        <v>15.62</v>
      </c>
      <c r="I1133">
        <v>171</v>
      </c>
      <c r="J1133">
        <v>159</v>
      </c>
      <c r="K1133">
        <v>1068</v>
      </c>
      <c r="L1133" s="2">
        <v>2.9050925925925928E-3</v>
      </c>
      <c r="M1133" s="2">
        <v>1.4780092592592593E-2</v>
      </c>
      <c r="N1133" s="2">
        <v>3.0324074074074073E-2</v>
      </c>
      <c r="O1133" s="2">
        <v>0</v>
      </c>
      <c r="P1133" s="2">
        <v>0</v>
      </c>
    </row>
    <row r="1134" spans="1:16" x14ac:dyDescent="0.3">
      <c r="A1134" s="1">
        <v>45828.755497685182</v>
      </c>
      <c r="B1134" s="1">
        <v>45828.798009259262</v>
      </c>
      <c r="C1134">
        <v>61.22</v>
      </c>
      <c r="D1134" s="2">
        <v>4.2511574074074077E-2</v>
      </c>
      <c r="E1134">
        <v>13.247</v>
      </c>
      <c r="F1134" s="2">
        <v>3.2060185185185186E-3</v>
      </c>
      <c r="G1134">
        <v>12.98</v>
      </c>
      <c r="H1134">
        <v>19.25</v>
      </c>
      <c r="I1134">
        <v>166</v>
      </c>
      <c r="J1134">
        <v>150</v>
      </c>
      <c r="K1134">
        <v>922</v>
      </c>
      <c r="L1134" s="2">
        <v>2.9976851851851853E-3</v>
      </c>
      <c r="M1134" s="2">
        <v>1.5810185185185184E-2</v>
      </c>
      <c r="N1134" s="2">
        <v>3.1909722222222221E-2</v>
      </c>
      <c r="O1134" s="2">
        <v>0</v>
      </c>
      <c r="P1134" s="2">
        <v>0</v>
      </c>
    </row>
    <row r="1135" spans="1:16" x14ac:dyDescent="0.3">
      <c r="A1135" s="1">
        <v>45829.967442129629</v>
      </c>
      <c r="B1135" s="1">
        <v>45829.999016203707</v>
      </c>
      <c r="C1135">
        <v>45.47</v>
      </c>
      <c r="D1135" s="2">
        <v>3.1574074074074074E-2</v>
      </c>
      <c r="E1135">
        <v>8.5030000000000001</v>
      </c>
      <c r="F1135" s="2">
        <v>3.7037037037037038E-3</v>
      </c>
      <c r="G1135">
        <v>11.22</v>
      </c>
      <c r="H1135">
        <v>12.06</v>
      </c>
      <c r="I1135">
        <v>151</v>
      </c>
      <c r="J1135">
        <v>140</v>
      </c>
      <c r="K1135">
        <v>610</v>
      </c>
      <c r="L1135" s="2">
        <v>3.6458333333333334E-3</v>
      </c>
      <c r="M1135" s="2">
        <v>1.8368055555555554E-2</v>
      </c>
      <c r="N1135" s="2">
        <v>0</v>
      </c>
      <c r="O1135" s="2">
        <v>0</v>
      </c>
      <c r="P1135" s="2">
        <v>0</v>
      </c>
    </row>
    <row r="1136" spans="1:16" x14ac:dyDescent="0.3">
      <c r="A1136" s="1">
        <v>45830.936215277776</v>
      </c>
      <c r="B1136" s="1">
        <v>45830.989849537036</v>
      </c>
      <c r="C1136">
        <v>76.510000000000005</v>
      </c>
      <c r="D1136" s="2">
        <v>5.3124999999999999E-2</v>
      </c>
      <c r="E1136">
        <v>15.500999999999999</v>
      </c>
      <c r="F1136" s="2">
        <v>3.425925925925926E-3</v>
      </c>
      <c r="G1136">
        <v>12.16</v>
      </c>
      <c r="H1136">
        <v>16.39</v>
      </c>
      <c r="I1136">
        <v>156</v>
      </c>
      <c r="J1136">
        <v>141</v>
      </c>
      <c r="K1136">
        <v>1058</v>
      </c>
      <c r="L1136" s="2">
        <v>2.9976851851851853E-3</v>
      </c>
      <c r="M1136" s="2">
        <v>1.6932870370370369E-2</v>
      </c>
      <c r="N1136" s="2">
        <v>3.4282407407407407E-2</v>
      </c>
      <c r="O1136" s="2">
        <v>0</v>
      </c>
      <c r="P1136" s="2">
        <v>0</v>
      </c>
    </row>
    <row r="1137" spans="1:16" x14ac:dyDescent="0.3">
      <c r="A1137" s="1">
        <v>45832.927314814813</v>
      </c>
      <c r="B1137" s="1">
        <v>45832.981886574074</v>
      </c>
      <c r="C1137">
        <v>76.010000000000005</v>
      </c>
      <c r="D1137" s="2">
        <v>5.2777777777777778E-2</v>
      </c>
      <c r="E1137">
        <v>16.609000000000002</v>
      </c>
      <c r="F1137" s="2">
        <v>3.1712962962962962E-3</v>
      </c>
      <c r="G1137">
        <v>13.11</v>
      </c>
      <c r="H1137">
        <v>16.39</v>
      </c>
      <c r="I1137">
        <v>171</v>
      </c>
      <c r="J1137">
        <v>150</v>
      </c>
      <c r="K1137">
        <v>1130</v>
      </c>
      <c r="L1137" s="2">
        <v>2.8240740740740739E-3</v>
      </c>
      <c r="M1137" s="2">
        <v>1.4768518518518519E-2</v>
      </c>
      <c r="N1137" s="2">
        <v>3.0277777777777778E-2</v>
      </c>
      <c r="O1137" s="2">
        <v>0</v>
      </c>
      <c r="P1137" s="2">
        <v>0</v>
      </c>
    </row>
    <row r="1138" spans="1:16" x14ac:dyDescent="0.3">
      <c r="A1138" s="1">
        <v>45833.892812500002</v>
      </c>
      <c r="B1138" s="1">
        <v>45833.941076388888</v>
      </c>
      <c r="C1138">
        <v>64.95</v>
      </c>
      <c r="D1138" s="2">
        <v>4.5092592592592594E-2</v>
      </c>
      <c r="E1138">
        <v>12.497</v>
      </c>
      <c r="F1138" s="2">
        <v>3.5995370370370369E-3</v>
      </c>
      <c r="G1138">
        <v>11.54</v>
      </c>
      <c r="H1138">
        <v>13.74</v>
      </c>
      <c r="I1138">
        <v>146</v>
      </c>
      <c r="J1138">
        <v>134</v>
      </c>
      <c r="K1138">
        <v>841</v>
      </c>
      <c r="L1138" s="2">
        <v>3.460648148148148E-3</v>
      </c>
      <c r="M1138" s="2">
        <v>1.787037037037037E-2</v>
      </c>
      <c r="N1138" s="2">
        <v>3.5821759259259262E-2</v>
      </c>
      <c r="O1138" s="2">
        <v>0</v>
      </c>
      <c r="P1138" s="2">
        <v>0</v>
      </c>
    </row>
    <row r="1139" spans="1:16" x14ac:dyDescent="0.3">
      <c r="A1139" s="1">
        <v>45835.223993055559</v>
      </c>
      <c r="B1139" s="1">
        <v>45835.327280092592</v>
      </c>
      <c r="C1139">
        <v>129.69</v>
      </c>
      <c r="D1139" s="2">
        <v>9.0057870370370371E-2</v>
      </c>
      <c r="E1139">
        <v>26.518000000000001</v>
      </c>
      <c r="F1139" s="2">
        <v>3.3912037037037036E-3</v>
      </c>
      <c r="G1139">
        <v>12.27</v>
      </c>
      <c r="H1139">
        <v>13.71</v>
      </c>
      <c r="I1139">
        <v>154</v>
      </c>
      <c r="J1139">
        <v>142</v>
      </c>
      <c r="K1139">
        <v>1781</v>
      </c>
      <c r="L1139" s="2">
        <v>3.1134259259259257E-3</v>
      </c>
      <c r="M1139" s="2">
        <v>1.6481481481481482E-2</v>
      </c>
      <c r="N1139" s="2">
        <v>3.3530092592592591E-2</v>
      </c>
      <c r="O1139" s="2">
        <v>7.1099537037037031E-2</v>
      </c>
      <c r="P1139" s="2">
        <v>0</v>
      </c>
    </row>
    <row r="1140" spans="1:16" x14ac:dyDescent="0.3">
      <c r="A1140" s="1">
        <v>45836.979733796295</v>
      </c>
      <c r="B1140" s="1">
        <v>45836.999525462961</v>
      </c>
      <c r="C1140">
        <v>28.5</v>
      </c>
      <c r="D1140" s="2">
        <v>1.9791666666666666E-2</v>
      </c>
      <c r="E1140">
        <v>5.5049999999999999</v>
      </c>
      <c r="F1140" s="2">
        <v>3.5879629629629629E-3</v>
      </c>
      <c r="G1140">
        <v>11.59</v>
      </c>
      <c r="H1140">
        <v>14.31</v>
      </c>
      <c r="I1140">
        <v>156</v>
      </c>
      <c r="J1140">
        <v>142</v>
      </c>
      <c r="K1140">
        <v>391</v>
      </c>
      <c r="L1140" s="2">
        <v>3.2060185185185186E-3</v>
      </c>
      <c r="M1140" s="2">
        <v>1.7928240740740741E-2</v>
      </c>
      <c r="N1140" s="2">
        <v>0</v>
      </c>
      <c r="O1140" s="2">
        <v>0</v>
      </c>
      <c r="P1140" s="2">
        <v>0</v>
      </c>
    </row>
    <row r="1141" spans="1:16" x14ac:dyDescent="0.3">
      <c r="A1141" s="1">
        <v>45838.917500000003</v>
      </c>
      <c r="B1141" s="1">
        <v>45838.991574074076</v>
      </c>
      <c r="C1141">
        <v>104.49</v>
      </c>
      <c r="D1141" s="2">
        <v>7.255787037037037E-2</v>
      </c>
      <c r="E1141">
        <v>22.254000000000001</v>
      </c>
      <c r="F1141" s="2">
        <v>3.2523148148148147E-3</v>
      </c>
      <c r="G1141">
        <v>12.78</v>
      </c>
      <c r="H1141">
        <v>15.02</v>
      </c>
      <c r="I1141">
        <v>168</v>
      </c>
      <c r="J1141">
        <v>151</v>
      </c>
      <c r="K1141">
        <v>1525</v>
      </c>
      <c r="L1141" s="2">
        <v>3.0208333333333333E-3</v>
      </c>
      <c r="M1141" s="2">
        <v>1.5393518518518518E-2</v>
      </c>
      <c r="N1141" s="2">
        <v>3.1342592592592596E-2</v>
      </c>
      <c r="O1141" s="2">
        <v>6.834490740740741E-2</v>
      </c>
      <c r="P1141" s="2">
        <v>0</v>
      </c>
    </row>
    <row r="1142" spans="1:16" x14ac:dyDescent="0.3">
      <c r="A1142" s="1">
        <v>45839.951504629629</v>
      </c>
      <c r="B1142" s="1">
        <v>45839.994259259256</v>
      </c>
      <c r="C1142">
        <v>61.58</v>
      </c>
      <c r="D1142" s="2">
        <v>4.2754629629629629E-2</v>
      </c>
      <c r="E1142">
        <v>13.25</v>
      </c>
      <c r="F1142" s="2">
        <v>3.2175925925925926E-3</v>
      </c>
      <c r="G1142">
        <v>12.91</v>
      </c>
      <c r="H1142">
        <v>14.98</v>
      </c>
      <c r="I1142">
        <v>158</v>
      </c>
      <c r="J1142">
        <v>148</v>
      </c>
      <c r="K1142">
        <v>902</v>
      </c>
      <c r="L1142" s="2">
        <v>3.0208333333333333E-3</v>
      </c>
      <c r="M1142" s="2">
        <v>1.5590277777777778E-2</v>
      </c>
      <c r="N1142" s="2">
        <v>3.15625E-2</v>
      </c>
      <c r="O1142" s="2">
        <v>0</v>
      </c>
      <c r="P1142" s="2">
        <v>0</v>
      </c>
    </row>
    <row r="1143" spans="1:16" x14ac:dyDescent="0.3">
      <c r="A1143" s="1">
        <v>45840.960081018522</v>
      </c>
      <c r="B1143" s="1">
        <v>45840.99962962963</v>
      </c>
      <c r="C1143">
        <v>56.96</v>
      </c>
      <c r="D1143" s="2">
        <v>3.9548611111111111E-2</v>
      </c>
      <c r="E1143">
        <v>11.247999999999999</v>
      </c>
      <c r="F1143" s="2">
        <v>3.5069444444444445E-3</v>
      </c>
      <c r="G1143">
        <v>11.85</v>
      </c>
      <c r="H1143">
        <v>14.24</v>
      </c>
      <c r="I1143">
        <v>151</v>
      </c>
      <c r="J1143">
        <v>139</v>
      </c>
      <c r="K1143">
        <v>773</v>
      </c>
      <c r="L1143" s="2">
        <v>3.2407407407407406E-3</v>
      </c>
      <c r="M1143" s="2">
        <v>1.7314814814814814E-2</v>
      </c>
      <c r="N1143" s="2">
        <v>3.5081018518518518E-2</v>
      </c>
      <c r="O1143" s="2">
        <v>0</v>
      </c>
      <c r="P1143" s="2">
        <v>0</v>
      </c>
    </row>
    <row r="1144" spans="1:16" x14ac:dyDescent="0.3">
      <c r="A1144" s="1">
        <v>45842.248981481483</v>
      </c>
      <c r="B1144" s="1">
        <v>45842.303541666668</v>
      </c>
      <c r="C1144">
        <v>78.239999999999995</v>
      </c>
      <c r="D1144" s="2">
        <v>5.4328703703703705E-2</v>
      </c>
      <c r="E1144">
        <v>13.016</v>
      </c>
      <c r="F1144" s="2">
        <v>4.1666666666666666E-3</v>
      </c>
      <c r="G1144">
        <v>9.98</v>
      </c>
      <c r="H1144">
        <v>11.52</v>
      </c>
      <c r="I1144">
        <v>150</v>
      </c>
      <c r="J1144">
        <v>124</v>
      </c>
      <c r="K1144">
        <v>908</v>
      </c>
      <c r="L1144" s="2">
        <v>3.7962962962962963E-3</v>
      </c>
      <c r="M1144" s="2">
        <v>2.0532407407407409E-2</v>
      </c>
      <c r="N1144" s="2">
        <v>4.1365740740740738E-2</v>
      </c>
      <c r="O1144" s="2">
        <v>0</v>
      </c>
      <c r="P1144" s="2">
        <v>0</v>
      </c>
    </row>
    <row r="1145" spans="1:16" x14ac:dyDescent="0.3">
      <c r="A1145" s="1">
        <v>45843.950648148151</v>
      </c>
      <c r="B1145" s="1">
        <v>45843.998796296299</v>
      </c>
      <c r="C1145">
        <v>69.349999999999994</v>
      </c>
      <c r="D1145" s="2">
        <v>4.8148148148148148E-2</v>
      </c>
      <c r="E1145">
        <v>15.25</v>
      </c>
      <c r="F1145" s="2">
        <v>3.1481481481481482E-3</v>
      </c>
      <c r="G1145">
        <v>13.19</v>
      </c>
      <c r="H1145">
        <v>16.53</v>
      </c>
      <c r="I1145">
        <v>169</v>
      </c>
      <c r="J1145">
        <v>154</v>
      </c>
      <c r="K1145">
        <v>1060</v>
      </c>
      <c r="L1145" s="2">
        <v>3.0208333333333333E-3</v>
      </c>
      <c r="M1145" s="2">
        <v>1.5381944444444445E-2</v>
      </c>
      <c r="N1145" s="2">
        <v>3.09375E-2</v>
      </c>
      <c r="O1145" s="2">
        <v>0</v>
      </c>
      <c r="P1145" s="2">
        <v>0</v>
      </c>
    </row>
    <row r="1146" spans="1:16" x14ac:dyDescent="0.3">
      <c r="A1146" s="1">
        <v>45844.000694444447</v>
      </c>
      <c r="B1146" s="1">
        <v>45844.01021990741</v>
      </c>
      <c r="C1146">
        <v>13.72</v>
      </c>
      <c r="D1146" s="2">
        <v>9.525462962962963E-3</v>
      </c>
      <c r="E1146">
        <v>2.5459999999999998</v>
      </c>
      <c r="F1146" s="2">
        <v>3.7384259259259259E-3</v>
      </c>
      <c r="G1146">
        <v>11.13</v>
      </c>
      <c r="H1146">
        <v>12.09</v>
      </c>
      <c r="I1146">
        <v>143</v>
      </c>
      <c r="J1146">
        <v>132</v>
      </c>
      <c r="K1146">
        <v>178</v>
      </c>
      <c r="L1146" s="2">
        <v>3.6342592592592594E-3</v>
      </c>
      <c r="M1146" s="2">
        <v>0</v>
      </c>
      <c r="N1146" s="2">
        <v>0</v>
      </c>
      <c r="O1146" s="2">
        <v>0</v>
      </c>
      <c r="P1146" s="2">
        <v>0</v>
      </c>
    </row>
    <row r="1147" spans="1:16" x14ac:dyDescent="0.3">
      <c r="A1147" s="1">
        <v>45845.951504629629</v>
      </c>
      <c r="B1147" s="1">
        <v>45845.999363425923</v>
      </c>
      <c r="C1147">
        <v>68.92</v>
      </c>
      <c r="D1147" s="2">
        <v>4.7858796296296295E-2</v>
      </c>
      <c r="E1147">
        <v>15.500999999999999</v>
      </c>
      <c r="F1147" s="2">
        <v>3.0787037037037037E-3</v>
      </c>
      <c r="G1147">
        <v>13.49</v>
      </c>
      <c r="H1147">
        <v>15.38</v>
      </c>
      <c r="I1147">
        <v>172</v>
      </c>
      <c r="J1147">
        <v>157</v>
      </c>
      <c r="K1147">
        <v>1061</v>
      </c>
      <c r="L1147" s="2">
        <v>2.8935185185185184E-3</v>
      </c>
      <c r="M1147" s="2">
        <v>1.4837962962962963E-2</v>
      </c>
      <c r="N1147" s="2">
        <v>3.0127314814814815E-2</v>
      </c>
      <c r="O1147" s="2">
        <v>0</v>
      </c>
      <c r="P1147" s="2">
        <v>0</v>
      </c>
    </row>
    <row r="1148" spans="1:16" x14ac:dyDescent="0.3">
      <c r="A1148" s="1">
        <v>45846.001631944448</v>
      </c>
      <c r="B1148" s="1">
        <v>45846.013414351852</v>
      </c>
      <c r="C1148">
        <v>16.98</v>
      </c>
      <c r="D1148" s="2">
        <v>1.1782407407407408E-2</v>
      </c>
      <c r="E1148">
        <v>3.2480000000000002</v>
      </c>
      <c r="F1148" s="2">
        <v>3.6226851851851854E-3</v>
      </c>
      <c r="G1148">
        <v>11.48</v>
      </c>
      <c r="H1148">
        <v>13.03</v>
      </c>
      <c r="I1148">
        <v>150</v>
      </c>
      <c r="J1148">
        <v>140</v>
      </c>
      <c r="K1148">
        <v>232</v>
      </c>
      <c r="L1148" s="2">
        <v>3.5069444444444445E-3</v>
      </c>
      <c r="M1148" s="2">
        <v>0</v>
      </c>
      <c r="N1148" s="2">
        <v>0</v>
      </c>
      <c r="O1148" s="2">
        <v>0</v>
      </c>
      <c r="P1148" s="2">
        <v>0</v>
      </c>
    </row>
    <row r="1149" spans="1:16" x14ac:dyDescent="0.3">
      <c r="A1149" s="1">
        <v>45846.945914351854</v>
      </c>
      <c r="B1149" s="1">
        <v>45846.999224537038</v>
      </c>
      <c r="C1149">
        <v>76.78</v>
      </c>
      <c r="D1149" s="2">
        <v>5.3310185185185183E-2</v>
      </c>
      <c r="E1149">
        <v>15.048</v>
      </c>
      <c r="F1149" s="2">
        <v>3.5416666666666665E-3</v>
      </c>
      <c r="G1149">
        <v>11.76</v>
      </c>
      <c r="H1149">
        <v>15.75</v>
      </c>
      <c r="I1149">
        <v>152</v>
      </c>
      <c r="J1149">
        <v>136</v>
      </c>
      <c r="K1149">
        <v>1008</v>
      </c>
      <c r="L1149" s="2">
        <v>3.2638888888888891E-3</v>
      </c>
      <c r="M1149" s="2">
        <v>1.7291666666666667E-2</v>
      </c>
      <c r="N1149" s="2">
        <v>3.5115740740740739E-2</v>
      </c>
      <c r="O1149" s="2">
        <v>0</v>
      </c>
      <c r="P1149" s="2">
        <v>0</v>
      </c>
    </row>
    <row r="1150" spans="1:16" x14ac:dyDescent="0.3">
      <c r="A1150" s="1">
        <v>45847.937731481485</v>
      </c>
      <c r="B1150" s="1">
        <v>45847.983275462961</v>
      </c>
      <c r="C1150">
        <v>60.56</v>
      </c>
      <c r="D1150" s="2">
        <v>4.2048611111111113E-2</v>
      </c>
      <c r="E1150">
        <v>12.250999999999999</v>
      </c>
      <c r="F1150" s="2">
        <v>3.425925925925926E-3</v>
      </c>
      <c r="G1150">
        <v>12.14</v>
      </c>
      <c r="H1150">
        <v>13.5</v>
      </c>
      <c r="I1150">
        <v>157</v>
      </c>
      <c r="J1150">
        <v>141</v>
      </c>
      <c r="K1150">
        <v>834</v>
      </c>
      <c r="L1150" s="2">
        <v>3.2407407407407406E-3</v>
      </c>
      <c r="M1150" s="2">
        <v>1.6608796296296295E-2</v>
      </c>
      <c r="N1150" s="2">
        <v>3.4004629629629628E-2</v>
      </c>
      <c r="O1150" s="2">
        <v>0</v>
      </c>
      <c r="P1150" s="2">
        <v>0</v>
      </c>
    </row>
    <row r="1151" spans="1:16" x14ac:dyDescent="0.3">
      <c r="A1151" s="1">
        <v>45849.731805555559</v>
      </c>
      <c r="B1151" s="1">
        <v>45849.756365740737</v>
      </c>
      <c r="C1151">
        <v>35.32</v>
      </c>
      <c r="D1151" s="2">
        <v>2.4525462962962964E-2</v>
      </c>
      <c r="E1151">
        <v>7.2530000000000001</v>
      </c>
      <c r="F1151" s="2">
        <v>3.3796296296296296E-3</v>
      </c>
      <c r="G1151">
        <v>12.32</v>
      </c>
      <c r="H1151">
        <v>13.3</v>
      </c>
      <c r="I1151">
        <v>167</v>
      </c>
      <c r="J1151">
        <v>155</v>
      </c>
      <c r="K1151">
        <v>535</v>
      </c>
      <c r="L1151" s="2">
        <v>3.2754629629629631E-3</v>
      </c>
      <c r="M1151" s="2">
        <v>1.6770833333333332E-2</v>
      </c>
      <c r="N1151" s="2">
        <v>0</v>
      </c>
      <c r="O1151" s="2">
        <v>0</v>
      </c>
      <c r="P1151" s="2">
        <v>0</v>
      </c>
    </row>
    <row r="1152" spans="1:16" x14ac:dyDescent="0.3">
      <c r="A1152" s="1">
        <v>45852.87636574074</v>
      </c>
      <c r="B1152" s="1">
        <v>45852.945659722223</v>
      </c>
      <c r="C1152">
        <v>90.95</v>
      </c>
      <c r="D1152" s="2">
        <v>6.3148148148148148E-2</v>
      </c>
      <c r="E1152">
        <v>18.247</v>
      </c>
      <c r="F1152" s="2">
        <v>3.460648148148148E-3</v>
      </c>
      <c r="G1152">
        <v>12.04</v>
      </c>
      <c r="H1152">
        <v>14.31</v>
      </c>
      <c r="I1152">
        <v>155</v>
      </c>
      <c r="J1152">
        <v>142</v>
      </c>
      <c r="K1152">
        <v>1246</v>
      </c>
      <c r="L1152" s="2">
        <v>3.1481481481481482E-3</v>
      </c>
      <c r="M1152" s="2">
        <v>1.667824074074074E-2</v>
      </c>
      <c r="N1152" s="2">
        <v>3.394675925925926E-2</v>
      </c>
      <c r="O1152" s="2">
        <v>0</v>
      </c>
      <c r="P1152" s="2">
        <v>0</v>
      </c>
    </row>
    <row r="1153" spans="1:16" x14ac:dyDescent="0.3">
      <c r="A1153" s="1">
        <v>45853.949803240743</v>
      </c>
      <c r="B1153" s="1">
        <v>45853.992361111108</v>
      </c>
      <c r="C1153">
        <v>61.29</v>
      </c>
      <c r="D1153" s="2">
        <v>4.2557870370370371E-2</v>
      </c>
      <c r="E1153">
        <v>13.497</v>
      </c>
      <c r="F1153" s="2">
        <v>3.1481481481481482E-3</v>
      </c>
      <c r="G1153">
        <v>13.21</v>
      </c>
      <c r="H1153">
        <v>15.12</v>
      </c>
      <c r="I1153">
        <v>169</v>
      </c>
      <c r="J1153">
        <v>155</v>
      </c>
      <c r="K1153">
        <v>929</v>
      </c>
      <c r="L1153" s="2">
        <v>3.0092592592592593E-3</v>
      </c>
      <c r="M1153" s="2">
        <v>1.5393518518518518E-2</v>
      </c>
      <c r="N1153" s="2">
        <v>3.1168981481481482E-2</v>
      </c>
      <c r="O1153" s="2">
        <v>0</v>
      </c>
      <c r="P1153" s="2">
        <v>0</v>
      </c>
    </row>
    <row r="1154" spans="1:16" x14ac:dyDescent="0.3">
      <c r="A1154" s="1">
        <v>45854.949525462966</v>
      </c>
      <c r="B1154" s="1">
        <v>45854.987962962965</v>
      </c>
      <c r="C1154">
        <v>55.29</v>
      </c>
      <c r="D1154" s="2">
        <v>3.8391203703703705E-2</v>
      </c>
      <c r="E1154">
        <v>12.253</v>
      </c>
      <c r="F1154" s="2">
        <v>3.1250000000000002E-3</v>
      </c>
      <c r="G1154">
        <v>13.3</v>
      </c>
      <c r="H1154">
        <v>14.95</v>
      </c>
      <c r="I1154">
        <v>172</v>
      </c>
      <c r="J1154">
        <v>155</v>
      </c>
      <c r="K1154">
        <v>847</v>
      </c>
      <c r="L1154" s="2">
        <v>2.9166666666666668E-3</v>
      </c>
      <c r="M1154" s="2">
        <v>1.5138888888888889E-2</v>
      </c>
      <c r="N1154" s="2">
        <v>3.0856481481481481E-2</v>
      </c>
      <c r="O1154" s="2">
        <v>0</v>
      </c>
      <c r="P1154" s="2">
        <v>0</v>
      </c>
    </row>
    <row r="1155" spans="1:16" x14ac:dyDescent="0.3">
      <c r="A1155" s="1">
        <v>45856.231770833336</v>
      </c>
      <c r="B1155" s="1">
        <v>45856.32440972222</v>
      </c>
      <c r="C1155">
        <v>126.31</v>
      </c>
      <c r="D1155" s="2">
        <v>8.7708333333333333E-2</v>
      </c>
      <c r="E1155">
        <v>24.204999999999998</v>
      </c>
      <c r="F1155" s="2">
        <v>3.6226851851851854E-3</v>
      </c>
      <c r="G1155">
        <v>11.5</v>
      </c>
      <c r="H1155">
        <v>13.98</v>
      </c>
      <c r="I1155">
        <v>177</v>
      </c>
      <c r="J1155">
        <v>142</v>
      </c>
      <c r="K1155">
        <v>1722</v>
      </c>
      <c r="L1155" s="2">
        <v>3.1828703703703702E-3</v>
      </c>
      <c r="M1155" s="2">
        <v>1.7210648148148149E-2</v>
      </c>
      <c r="N1155" s="2">
        <v>3.4953703703703702E-2</v>
      </c>
      <c r="O1155" s="2">
        <v>7.5833333333333336E-2</v>
      </c>
      <c r="P1155" s="2">
        <v>0</v>
      </c>
    </row>
    <row r="1156" spans="1:16" x14ac:dyDescent="0.3">
      <c r="A1156" s="1">
        <v>45857.937094907407</v>
      </c>
      <c r="B1156" s="1">
        <v>45857.983483796299</v>
      </c>
      <c r="C1156">
        <v>63.58</v>
      </c>
      <c r="D1156" s="2">
        <v>4.4143518518518519E-2</v>
      </c>
      <c r="E1156">
        <v>12.244999999999999</v>
      </c>
      <c r="F1156" s="2">
        <v>3.5995370370370369E-3</v>
      </c>
      <c r="G1156">
        <v>11.56</v>
      </c>
      <c r="H1156">
        <v>13.23</v>
      </c>
      <c r="I1156">
        <v>159</v>
      </c>
      <c r="J1156">
        <v>143</v>
      </c>
      <c r="K1156">
        <v>864</v>
      </c>
      <c r="L1156" s="2">
        <v>3.3564814814814816E-3</v>
      </c>
      <c r="M1156" s="2">
        <v>1.7719907407407406E-2</v>
      </c>
      <c r="N1156" s="2">
        <v>3.591435185185185E-2</v>
      </c>
      <c r="O1156" s="2">
        <v>0</v>
      </c>
      <c r="P1156" s="2">
        <v>0</v>
      </c>
    </row>
    <row r="1157" spans="1:16" x14ac:dyDescent="0.3">
      <c r="A1157" s="1">
        <v>45859.960428240738</v>
      </c>
      <c r="B1157" s="1">
        <v>45859.9996875</v>
      </c>
      <c r="C1157">
        <v>56.38</v>
      </c>
      <c r="D1157" s="2">
        <v>3.9143518518518522E-2</v>
      </c>
      <c r="E1157">
        <v>12.1</v>
      </c>
      <c r="F1157" s="2">
        <v>3.2291666666666666E-3</v>
      </c>
      <c r="G1157">
        <v>12.88</v>
      </c>
      <c r="H1157">
        <v>14.11</v>
      </c>
      <c r="I1157">
        <v>167</v>
      </c>
      <c r="J1157">
        <v>151</v>
      </c>
      <c r="K1157">
        <v>840</v>
      </c>
      <c r="L1157" s="2">
        <v>3.0324074074074073E-3</v>
      </c>
      <c r="M1157" s="2">
        <v>1.5775462962962963E-2</v>
      </c>
      <c r="N1157" s="2">
        <v>3.1909722222222221E-2</v>
      </c>
      <c r="O1157" s="2">
        <v>0</v>
      </c>
      <c r="P1157" s="2">
        <v>0</v>
      </c>
    </row>
    <row r="1158" spans="1:16" x14ac:dyDescent="0.3">
      <c r="A1158" s="1">
        <v>45860.9606712963</v>
      </c>
      <c r="B1158" s="1">
        <v>45860.999398148146</v>
      </c>
      <c r="C1158">
        <v>55.78</v>
      </c>
      <c r="D1158" s="2">
        <v>3.8726851851851853E-2</v>
      </c>
      <c r="E1158">
        <v>12.506</v>
      </c>
      <c r="F1158" s="2">
        <v>3.0902777777777777E-3</v>
      </c>
      <c r="G1158">
        <v>13.45</v>
      </c>
      <c r="H1158">
        <v>16.260000000000002</v>
      </c>
      <c r="I1158">
        <v>171</v>
      </c>
      <c r="J1158">
        <v>156</v>
      </c>
      <c r="K1158">
        <v>861</v>
      </c>
      <c r="L1158" s="2">
        <v>2.650462962962963E-3</v>
      </c>
      <c r="M1158" s="2">
        <v>1.4305555555555556E-2</v>
      </c>
      <c r="N1158" s="2">
        <v>3.0127314814814815E-2</v>
      </c>
      <c r="O1158" s="2">
        <v>0</v>
      </c>
      <c r="P1158" s="2">
        <v>0</v>
      </c>
    </row>
    <row r="1159" spans="1:16" x14ac:dyDescent="0.3">
      <c r="A1159" s="1">
        <v>45861.001030092593</v>
      </c>
      <c r="B1159" s="1">
        <v>45861.013553240744</v>
      </c>
      <c r="C1159">
        <v>18.05</v>
      </c>
      <c r="D1159" s="2">
        <v>1.2523148148148148E-2</v>
      </c>
      <c r="E1159">
        <v>3.4950000000000001</v>
      </c>
      <c r="F1159" s="2">
        <v>3.5763888888888889E-3</v>
      </c>
      <c r="G1159">
        <v>11.62</v>
      </c>
      <c r="H1159">
        <v>13.3</v>
      </c>
      <c r="I1159">
        <v>157</v>
      </c>
      <c r="J1159">
        <v>144</v>
      </c>
      <c r="K1159">
        <v>251</v>
      </c>
      <c r="L1159" s="2">
        <v>3.460648148148148E-3</v>
      </c>
      <c r="M1159" s="2">
        <v>0</v>
      </c>
      <c r="N1159" s="2">
        <v>0</v>
      </c>
      <c r="O1159" s="2">
        <v>0</v>
      </c>
      <c r="P1159" s="2">
        <v>0</v>
      </c>
    </row>
    <row r="1160" spans="1:16" x14ac:dyDescent="0.3">
      <c r="A1160" s="1">
        <v>45863.289467592593</v>
      </c>
      <c r="B1160" s="1">
        <v>45863.365266203706</v>
      </c>
      <c r="C1160">
        <v>105.98</v>
      </c>
      <c r="D1160" s="2">
        <v>7.3587962962962966E-2</v>
      </c>
      <c r="E1160">
        <v>21.248999999999999</v>
      </c>
      <c r="F1160" s="2">
        <v>3.460648148148148E-3</v>
      </c>
      <c r="G1160">
        <v>12.03</v>
      </c>
      <c r="H1160">
        <v>15.62</v>
      </c>
      <c r="I1160">
        <v>159</v>
      </c>
      <c r="J1160">
        <v>141</v>
      </c>
      <c r="K1160">
        <v>1439</v>
      </c>
      <c r="L1160" s="2">
        <v>3.2986111111111111E-3</v>
      </c>
      <c r="M1160" s="2">
        <v>1.7025462962962964E-2</v>
      </c>
      <c r="N1160" s="2">
        <v>3.4224537037037039E-2</v>
      </c>
      <c r="O1160" s="2">
        <v>7.3043981481481488E-2</v>
      </c>
      <c r="P1160" s="2">
        <v>0</v>
      </c>
    </row>
    <row r="1161" spans="1:16" x14ac:dyDescent="0.3">
      <c r="A1161" s="1">
        <v>45864.957986111112</v>
      </c>
      <c r="B1161" s="1">
        <v>45864.998726851853</v>
      </c>
      <c r="C1161">
        <v>57.96</v>
      </c>
      <c r="D1161" s="2">
        <v>4.0243055555555553E-2</v>
      </c>
      <c r="E1161">
        <v>10.249000000000001</v>
      </c>
      <c r="F1161" s="2">
        <v>3.9236111111111112E-3</v>
      </c>
      <c r="G1161">
        <v>10.61</v>
      </c>
      <c r="H1161">
        <v>12.5</v>
      </c>
      <c r="I1161">
        <v>150</v>
      </c>
      <c r="J1161">
        <v>134</v>
      </c>
      <c r="K1161">
        <v>719</v>
      </c>
      <c r="L1161" s="2">
        <v>3.7384259259259259E-3</v>
      </c>
      <c r="M1161" s="2">
        <v>1.9317129629629629E-2</v>
      </c>
      <c r="N1161" s="2">
        <v>3.9270833333333331E-2</v>
      </c>
      <c r="O1161" s="2">
        <v>0</v>
      </c>
      <c r="P1161" s="2">
        <v>0</v>
      </c>
    </row>
    <row r="1162" spans="1:16" x14ac:dyDescent="0.3">
      <c r="A1162" s="1">
        <v>45866.948449074072</v>
      </c>
      <c r="B1162" s="1">
        <v>45866.999016203707</v>
      </c>
      <c r="C1162">
        <v>72.760000000000005</v>
      </c>
      <c r="D1162" s="2">
        <v>5.0520833333333334E-2</v>
      </c>
      <c r="E1162">
        <v>16.251000000000001</v>
      </c>
      <c r="F1162" s="2">
        <v>3.1018518518518517E-3</v>
      </c>
      <c r="G1162">
        <v>13.4</v>
      </c>
      <c r="H1162">
        <v>14.78</v>
      </c>
      <c r="I1162">
        <v>166</v>
      </c>
      <c r="J1162">
        <v>154</v>
      </c>
      <c r="K1162">
        <v>1110</v>
      </c>
      <c r="L1162" s="2">
        <v>2.9513888888888888E-3</v>
      </c>
      <c r="M1162" s="2">
        <v>1.5324074074074073E-2</v>
      </c>
      <c r="N1162" s="2">
        <v>3.0787037037037036E-2</v>
      </c>
      <c r="O1162" s="2">
        <v>0</v>
      </c>
      <c r="P1162" s="2">
        <v>0</v>
      </c>
    </row>
    <row r="1163" spans="1:16" x14ac:dyDescent="0.3">
      <c r="A1163" s="1">
        <v>45867.001747685186</v>
      </c>
      <c r="B1163" s="1">
        <v>45867.014606481483</v>
      </c>
      <c r="C1163">
        <v>18.53</v>
      </c>
      <c r="D1163" s="2">
        <v>1.2858796296296297E-2</v>
      </c>
      <c r="E1163">
        <v>3.5009999999999999</v>
      </c>
      <c r="F1163" s="2">
        <v>3.6689814814814814E-3</v>
      </c>
      <c r="G1163">
        <v>11.34</v>
      </c>
      <c r="H1163">
        <v>12.56</v>
      </c>
      <c r="I1163">
        <v>147</v>
      </c>
      <c r="J1163">
        <v>134</v>
      </c>
      <c r="K1163">
        <v>244</v>
      </c>
      <c r="L1163" s="2">
        <v>3.5879629629629629E-3</v>
      </c>
      <c r="M1163" s="2">
        <v>0</v>
      </c>
      <c r="N1163" s="2">
        <v>0</v>
      </c>
      <c r="O1163" s="2">
        <v>0</v>
      </c>
      <c r="P1163" s="2">
        <v>0</v>
      </c>
    </row>
    <row r="1164" spans="1:16" x14ac:dyDescent="0.3">
      <c r="A1164" s="1">
        <v>45867.959479166668</v>
      </c>
      <c r="B1164" s="1">
        <v>45867.998657407406</v>
      </c>
      <c r="C1164">
        <v>56.42</v>
      </c>
      <c r="D1164" s="2">
        <v>3.9178240740740743E-2</v>
      </c>
      <c r="E1164">
        <v>12.249000000000001</v>
      </c>
      <c r="F1164" s="2">
        <v>3.1944444444444446E-3</v>
      </c>
      <c r="G1164">
        <v>13.03</v>
      </c>
      <c r="H1164">
        <v>14.38</v>
      </c>
      <c r="I1164">
        <v>166</v>
      </c>
      <c r="J1164">
        <v>150</v>
      </c>
      <c r="K1164">
        <v>839</v>
      </c>
      <c r="L1164" s="2">
        <v>2.9976851851851853E-3</v>
      </c>
      <c r="M1164" s="2">
        <v>1.5381944444444445E-2</v>
      </c>
      <c r="N1164" s="2">
        <v>3.1550925925925927E-2</v>
      </c>
      <c r="O1164" s="2">
        <v>0</v>
      </c>
      <c r="P1164" s="2">
        <v>0</v>
      </c>
    </row>
    <row r="1165" spans="1:16" x14ac:dyDescent="0.3">
      <c r="A1165" s="1">
        <v>45870.280335648145</v>
      </c>
      <c r="B1165" s="1">
        <v>45870.371990740743</v>
      </c>
      <c r="C1165">
        <v>123.93</v>
      </c>
      <c r="D1165" s="2">
        <v>8.6053240740740736E-2</v>
      </c>
      <c r="E1165">
        <v>25.498999999999999</v>
      </c>
      <c r="F1165" s="2">
        <v>3.3680555555555556E-3</v>
      </c>
      <c r="G1165">
        <v>12.35</v>
      </c>
      <c r="H1165">
        <v>14.38</v>
      </c>
      <c r="I1165">
        <v>169</v>
      </c>
      <c r="J1165">
        <v>153</v>
      </c>
      <c r="K1165">
        <v>1816</v>
      </c>
      <c r="L1165" s="2">
        <v>3.0555555555555557E-3</v>
      </c>
      <c r="M1165" s="2">
        <v>1.6111111111111111E-2</v>
      </c>
      <c r="N1165" s="2">
        <v>3.3101851851851855E-2</v>
      </c>
      <c r="O1165" s="2">
        <v>7.0347222222222228E-2</v>
      </c>
      <c r="P1165" s="2">
        <v>0</v>
      </c>
    </row>
    <row r="1166" spans="1:16" x14ac:dyDescent="0.3">
      <c r="A1166" s="1">
        <v>45873.936249999999</v>
      </c>
      <c r="B1166" s="1">
        <v>45873.99590277778</v>
      </c>
      <c r="C1166">
        <v>85.26</v>
      </c>
      <c r="D1166" s="2">
        <v>5.9201388888888887E-2</v>
      </c>
      <c r="E1166">
        <v>18.501999999999999</v>
      </c>
      <c r="F1166" s="2">
        <v>3.1944444444444446E-3</v>
      </c>
      <c r="G1166">
        <v>13.02</v>
      </c>
      <c r="H1166">
        <v>14.48</v>
      </c>
      <c r="I1166">
        <v>169</v>
      </c>
      <c r="J1166">
        <v>152</v>
      </c>
      <c r="K1166">
        <v>1271</v>
      </c>
      <c r="L1166" s="2">
        <v>2.9398148148148148E-3</v>
      </c>
      <c r="M1166" s="2">
        <v>1.5219907407407408E-2</v>
      </c>
      <c r="N1166" s="2">
        <v>3.1099537037037037E-2</v>
      </c>
      <c r="O1166" s="2">
        <v>0</v>
      </c>
      <c r="P1166" s="2">
        <v>0</v>
      </c>
    </row>
    <row r="1167" spans="1:16" x14ac:dyDescent="0.3">
      <c r="A1167" s="1">
        <v>45874.972245370373</v>
      </c>
      <c r="B1167" s="1">
        <v>45875.015625</v>
      </c>
      <c r="C1167">
        <v>62.47</v>
      </c>
      <c r="D1167" s="2">
        <v>4.3379629629629629E-2</v>
      </c>
      <c r="E1167">
        <v>12.252000000000001</v>
      </c>
      <c r="F1167" s="2">
        <v>3.5300925925925925E-3</v>
      </c>
      <c r="G1167">
        <v>11.77</v>
      </c>
      <c r="H1167">
        <v>13.03</v>
      </c>
      <c r="I1167">
        <v>152</v>
      </c>
      <c r="J1167">
        <v>135</v>
      </c>
      <c r="K1167">
        <v>824</v>
      </c>
      <c r="L1167" s="2">
        <v>3.3680555555555556E-3</v>
      </c>
      <c r="M1167" s="2">
        <v>1.7314814814814814E-2</v>
      </c>
      <c r="N1167" s="2">
        <v>3.5243055555555555E-2</v>
      </c>
      <c r="O1167" s="2">
        <v>0</v>
      </c>
      <c r="P1167" s="2">
        <v>0</v>
      </c>
    </row>
    <row r="1168" spans="1:16" x14ac:dyDescent="0.3">
      <c r="A1168" s="1">
        <v>45875.915034722224</v>
      </c>
      <c r="B1168" s="1">
        <v>45875.971539351849</v>
      </c>
      <c r="C1168">
        <v>78.5</v>
      </c>
      <c r="D1168" s="2">
        <v>5.4502314814814816E-2</v>
      </c>
      <c r="E1168">
        <v>15.247</v>
      </c>
      <c r="F1168" s="2">
        <v>3.5648148148148149E-3</v>
      </c>
      <c r="G1168">
        <v>11.65</v>
      </c>
      <c r="H1168">
        <v>14.48</v>
      </c>
      <c r="I1168">
        <v>152</v>
      </c>
      <c r="J1168">
        <v>135</v>
      </c>
      <c r="K1168">
        <v>1025</v>
      </c>
      <c r="L1168" s="2">
        <v>3.3217592592592591E-3</v>
      </c>
      <c r="M1168" s="2">
        <v>1.755787037037037E-2</v>
      </c>
      <c r="N1168" s="2">
        <v>3.5277777777777776E-2</v>
      </c>
      <c r="O1168" s="2">
        <v>0</v>
      </c>
      <c r="P1168" s="2">
        <v>0</v>
      </c>
    </row>
    <row r="1169" spans="1:16" x14ac:dyDescent="0.3">
      <c r="A1169" s="1">
        <v>45877.2346875</v>
      </c>
      <c r="B1169" s="1">
        <v>45877.321516203701</v>
      </c>
      <c r="C1169">
        <v>120.94</v>
      </c>
      <c r="D1169" s="2">
        <v>8.3981481481481476E-2</v>
      </c>
      <c r="E1169">
        <v>24.036000000000001</v>
      </c>
      <c r="F1169" s="2">
        <v>3.4837962962962965E-3</v>
      </c>
      <c r="G1169">
        <v>11.92</v>
      </c>
      <c r="H1169">
        <v>15.62</v>
      </c>
      <c r="I1169">
        <v>169</v>
      </c>
      <c r="J1169">
        <v>144</v>
      </c>
      <c r="K1169">
        <v>1693</v>
      </c>
      <c r="L1169" s="2">
        <v>3.0787037037037037E-3</v>
      </c>
      <c r="M1169" s="2">
        <v>1.6851851851851851E-2</v>
      </c>
      <c r="N1169" s="2">
        <v>3.4340277777777775E-2</v>
      </c>
      <c r="O1169" s="2">
        <v>7.3240740740740745E-2</v>
      </c>
      <c r="P1169" s="2">
        <v>0</v>
      </c>
    </row>
    <row r="1170" spans="1:16" x14ac:dyDescent="0.3">
      <c r="A1170" s="1">
        <v>45879.90452546296</v>
      </c>
      <c r="B1170" s="1">
        <v>45879.958483796298</v>
      </c>
      <c r="C1170">
        <v>75.88</v>
      </c>
      <c r="D1170" s="2">
        <v>5.2685185185185182E-2</v>
      </c>
      <c r="E1170">
        <v>15.253</v>
      </c>
      <c r="F1170" s="2">
        <v>3.449074074074074E-3</v>
      </c>
      <c r="G1170">
        <v>12.06</v>
      </c>
      <c r="H1170">
        <v>13.5</v>
      </c>
      <c r="I1170">
        <v>158</v>
      </c>
      <c r="J1170">
        <v>144</v>
      </c>
      <c r="K1170">
        <v>1054</v>
      </c>
      <c r="L1170" s="2">
        <v>3.2060185185185186E-3</v>
      </c>
      <c r="M1170" s="2">
        <v>1.6585648148148148E-2</v>
      </c>
      <c r="N1170" s="2">
        <v>3.3831018518518517E-2</v>
      </c>
      <c r="O1170" s="2">
        <v>0</v>
      </c>
      <c r="P1170" s="2">
        <v>0</v>
      </c>
    </row>
    <row r="1171" spans="1:16" x14ac:dyDescent="0.3">
      <c r="A1171" s="1">
        <v>45880.919606481482</v>
      </c>
      <c r="B1171" s="1">
        <v>45880.975960648146</v>
      </c>
      <c r="C1171">
        <v>81.16</v>
      </c>
      <c r="D1171" s="2">
        <v>5.6354166666666664E-2</v>
      </c>
      <c r="E1171">
        <v>16.751000000000001</v>
      </c>
      <c r="F1171" s="2">
        <v>3.3564814814814816E-3</v>
      </c>
      <c r="G1171">
        <v>12.38</v>
      </c>
      <c r="H1171">
        <v>16.02</v>
      </c>
      <c r="I1171">
        <v>172</v>
      </c>
      <c r="J1171">
        <v>155</v>
      </c>
      <c r="K1171">
        <v>1195</v>
      </c>
      <c r="L1171" s="2">
        <v>2.9166666666666668E-3</v>
      </c>
      <c r="M1171" s="2">
        <v>1.5219907407407408E-2</v>
      </c>
      <c r="N1171" s="2">
        <v>3.1759259259259258E-2</v>
      </c>
      <c r="O1171" s="2">
        <v>0</v>
      </c>
      <c r="P1171" s="2">
        <v>0</v>
      </c>
    </row>
    <row r="1172" spans="1:16" x14ac:dyDescent="0.3">
      <c r="A1172" s="1">
        <v>45882.917719907404</v>
      </c>
      <c r="B1172" s="1">
        <v>45882.964270833334</v>
      </c>
      <c r="C1172">
        <v>65.2</v>
      </c>
      <c r="D1172" s="2">
        <v>4.5266203703703704E-2</v>
      </c>
      <c r="E1172">
        <v>12.25</v>
      </c>
      <c r="F1172" s="2">
        <v>3.6921296296296298E-3</v>
      </c>
      <c r="G1172">
        <v>11.27</v>
      </c>
      <c r="H1172">
        <v>12.7</v>
      </c>
      <c r="I1172">
        <v>157</v>
      </c>
      <c r="J1172">
        <v>142</v>
      </c>
      <c r="K1172">
        <v>871</v>
      </c>
      <c r="L1172" s="2">
        <v>3.5995370370370369E-3</v>
      </c>
      <c r="M1172" s="2">
        <v>1.8368055555555554E-2</v>
      </c>
      <c r="N1172" s="2">
        <v>3.6805555555555557E-2</v>
      </c>
      <c r="O1172" s="2">
        <v>0</v>
      </c>
      <c r="P1172" s="2">
        <v>0</v>
      </c>
    </row>
    <row r="1173" spans="1:16" x14ac:dyDescent="0.3">
      <c r="A1173" s="1">
        <v>45884.738553240742</v>
      </c>
      <c r="B1173" s="1">
        <v>45884.780833333331</v>
      </c>
      <c r="C1173">
        <v>60.9</v>
      </c>
      <c r="D1173" s="2">
        <v>4.2280092592592591E-2</v>
      </c>
      <c r="E1173">
        <v>12.247999999999999</v>
      </c>
      <c r="F1173" s="2">
        <v>3.449074074074074E-3</v>
      </c>
      <c r="G1173">
        <v>12.07</v>
      </c>
      <c r="H1173">
        <v>13.5</v>
      </c>
      <c r="I1173">
        <v>165</v>
      </c>
      <c r="J1173">
        <v>149</v>
      </c>
      <c r="K1173">
        <v>871</v>
      </c>
      <c r="L1173" s="2">
        <v>3.2754629629629631E-3</v>
      </c>
      <c r="M1173" s="2">
        <v>1.6724537037037038E-2</v>
      </c>
      <c r="N1173" s="2">
        <v>3.4201388888888892E-2</v>
      </c>
      <c r="O1173" s="2">
        <v>0</v>
      </c>
      <c r="P1173" s="2">
        <v>0</v>
      </c>
    </row>
    <row r="1174" spans="1:16" x14ac:dyDescent="0.3">
      <c r="A1174" s="1">
        <v>45886.952499999999</v>
      </c>
      <c r="B1174" s="1">
        <v>45886.99858796296</v>
      </c>
      <c r="C1174">
        <v>66.38</v>
      </c>
      <c r="D1174" s="2">
        <v>4.6087962962962963E-2</v>
      </c>
      <c r="E1174">
        <v>12.502000000000001</v>
      </c>
      <c r="F1174" s="2">
        <v>3.6805555555555554E-3</v>
      </c>
      <c r="G1174">
        <v>11.3</v>
      </c>
      <c r="H1174">
        <v>13.03</v>
      </c>
      <c r="I1174">
        <v>149</v>
      </c>
      <c r="J1174">
        <v>135</v>
      </c>
      <c r="K1174">
        <v>849</v>
      </c>
      <c r="L1174" s="2">
        <v>3.460648148148148E-3</v>
      </c>
      <c r="M1174" s="2">
        <v>1.7997685185185186E-2</v>
      </c>
      <c r="N1174" s="2">
        <v>3.6574074074074071E-2</v>
      </c>
      <c r="O1174" s="2">
        <v>0</v>
      </c>
      <c r="P1174" s="2">
        <v>0</v>
      </c>
    </row>
    <row r="1175" spans="1:16" x14ac:dyDescent="0.3">
      <c r="A1175" s="1">
        <v>45887.873206018521</v>
      </c>
      <c r="B1175" s="1">
        <v>45887.948136574072</v>
      </c>
      <c r="C1175">
        <v>105.63</v>
      </c>
      <c r="D1175" s="2">
        <v>7.3356481481481481E-2</v>
      </c>
      <c r="E1175">
        <v>22.317</v>
      </c>
      <c r="F1175" s="2">
        <v>3.2870370370370371E-3</v>
      </c>
      <c r="G1175">
        <v>12.64</v>
      </c>
      <c r="H1175">
        <v>15.52</v>
      </c>
      <c r="I1175">
        <v>171</v>
      </c>
      <c r="J1175">
        <v>152</v>
      </c>
      <c r="K1175">
        <v>1327</v>
      </c>
      <c r="L1175" s="2">
        <v>2.8703703703703703E-3</v>
      </c>
      <c r="M1175" s="2">
        <v>1.5324074074074073E-2</v>
      </c>
      <c r="N1175" s="2">
        <v>3.1655092592592596E-2</v>
      </c>
      <c r="O1175" s="2">
        <v>6.9490740740740742E-2</v>
      </c>
      <c r="P1175" s="2">
        <v>0</v>
      </c>
    </row>
    <row r="1176" spans="1:16" x14ac:dyDescent="0.3">
      <c r="A1176" s="1">
        <v>45888.909155092595</v>
      </c>
      <c r="B1176" s="1">
        <v>45888.952118055553</v>
      </c>
      <c r="C1176">
        <v>61.88</v>
      </c>
      <c r="D1176" s="2">
        <v>4.296296296296296E-2</v>
      </c>
      <c r="E1176">
        <v>12.247999999999999</v>
      </c>
      <c r="F1176" s="2">
        <v>3.5069444444444445E-3</v>
      </c>
      <c r="G1176">
        <v>11.88</v>
      </c>
      <c r="H1176">
        <v>12.97</v>
      </c>
      <c r="I1176">
        <v>156</v>
      </c>
      <c r="J1176">
        <v>143</v>
      </c>
      <c r="K1176">
        <v>846</v>
      </c>
      <c r="L1176" s="2">
        <v>3.3564814814814816E-3</v>
      </c>
      <c r="M1176" s="2">
        <v>1.7199074074074075E-2</v>
      </c>
      <c r="N1176" s="2">
        <v>3.4895833333333334E-2</v>
      </c>
      <c r="O1176" s="2">
        <v>0</v>
      </c>
      <c r="P1176" s="2">
        <v>0</v>
      </c>
    </row>
    <row r="1177" spans="1:16" x14ac:dyDescent="0.3">
      <c r="A1177" s="1">
        <v>45891.243159722224</v>
      </c>
      <c r="B1177" s="1">
        <v>45891.336840277778</v>
      </c>
      <c r="C1177">
        <v>125.7</v>
      </c>
      <c r="D1177" s="2">
        <v>8.728009259259259E-2</v>
      </c>
      <c r="E1177">
        <v>27.497</v>
      </c>
      <c r="F1177" s="2">
        <v>3.1712962962962962E-3</v>
      </c>
      <c r="G1177">
        <v>13.13</v>
      </c>
      <c r="H1177">
        <v>15.22</v>
      </c>
      <c r="I1177">
        <v>164</v>
      </c>
      <c r="J1177">
        <v>151</v>
      </c>
      <c r="K1177">
        <v>1839</v>
      </c>
      <c r="L1177" s="2">
        <v>2.9513888888888888E-3</v>
      </c>
      <c r="M1177" s="2">
        <v>1.5057870370370371E-2</v>
      </c>
      <c r="N1177" s="2">
        <v>3.0439814814814815E-2</v>
      </c>
      <c r="O1177" s="2">
        <v>6.5405092592592598E-2</v>
      </c>
      <c r="P1177" s="2">
        <v>0</v>
      </c>
    </row>
    <row r="1178" spans="1:16" x14ac:dyDescent="0.3">
      <c r="A1178" s="1">
        <v>45892.949548611112</v>
      </c>
      <c r="B1178" s="1">
        <v>45892.994016203702</v>
      </c>
      <c r="C1178">
        <v>64.03</v>
      </c>
      <c r="D1178" s="2">
        <v>4.4467592592592593E-2</v>
      </c>
      <c r="E1178">
        <v>11.746</v>
      </c>
      <c r="F1178" s="2">
        <v>3.7847222222222223E-3</v>
      </c>
      <c r="G1178">
        <v>11.01</v>
      </c>
      <c r="H1178">
        <v>12.36</v>
      </c>
      <c r="I1178">
        <v>157</v>
      </c>
      <c r="J1178">
        <v>140</v>
      </c>
      <c r="K1178">
        <v>831</v>
      </c>
      <c r="L1178" s="2">
        <v>3.6921296296296298E-3</v>
      </c>
      <c r="M1178" s="2">
        <v>1.8807870370370371E-2</v>
      </c>
      <c r="N1178" s="2">
        <v>3.7800925925925925E-2</v>
      </c>
      <c r="O1178" s="2">
        <v>0</v>
      </c>
      <c r="P1178" s="2">
        <v>0</v>
      </c>
    </row>
    <row r="1179" spans="1:16" x14ac:dyDescent="0.3">
      <c r="A1179" s="1">
        <v>45893.934467592589</v>
      </c>
      <c r="B1179" s="1">
        <v>45893.986817129633</v>
      </c>
      <c r="C1179">
        <v>75.36</v>
      </c>
      <c r="D1179" s="2">
        <v>5.2326388888888888E-2</v>
      </c>
      <c r="E1179">
        <v>15.252000000000001</v>
      </c>
      <c r="F1179" s="2">
        <v>3.425925925925926E-3</v>
      </c>
      <c r="G1179">
        <v>12.14</v>
      </c>
      <c r="H1179">
        <v>14.34</v>
      </c>
      <c r="I1179">
        <v>164</v>
      </c>
      <c r="J1179">
        <v>149</v>
      </c>
      <c r="K1179">
        <v>1066</v>
      </c>
      <c r="L1179" s="2">
        <v>3.1134259259259257E-3</v>
      </c>
      <c r="M1179" s="2">
        <v>1.6134259259259258E-2</v>
      </c>
      <c r="N1179" s="2">
        <v>3.3321759259259259E-2</v>
      </c>
      <c r="O1179" s="2">
        <v>0</v>
      </c>
      <c r="P1179" s="2">
        <v>0</v>
      </c>
    </row>
    <row r="1180" spans="1:16" x14ac:dyDescent="0.3">
      <c r="A1180" s="1">
        <v>45895.946145833332</v>
      </c>
      <c r="B1180" s="1">
        <v>45895.99800925926</v>
      </c>
      <c r="C1180">
        <v>74.680000000000007</v>
      </c>
      <c r="D1180" s="2">
        <v>5.1863425925925924E-2</v>
      </c>
      <c r="E1180">
        <v>15.499000000000001</v>
      </c>
      <c r="F1180" s="2">
        <v>3.3449074074074076E-3</v>
      </c>
      <c r="G1180">
        <v>12.45</v>
      </c>
      <c r="H1180">
        <v>14.01</v>
      </c>
      <c r="I1180">
        <v>163</v>
      </c>
      <c r="J1180">
        <v>151</v>
      </c>
      <c r="K1180">
        <v>1080</v>
      </c>
      <c r="L1180" s="2">
        <v>3.1712962962962962E-3</v>
      </c>
      <c r="M1180" s="2">
        <v>1.6064814814814816E-2</v>
      </c>
      <c r="N1180" s="2">
        <v>3.2731481481481479E-2</v>
      </c>
      <c r="O1180" s="2">
        <v>0</v>
      </c>
      <c r="P1180" s="2">
        <v>0</v>
      </c>
    </row>
    <row r="1181" spans="1:16" x14ac:dyDescent="0.3">
      <c r="A1181" s="1">
        <v>45898.229571759257</v>
      </c>
      <c r="B1181" s="1">
        <v>45898.33861111111</v>
      </c>
      <c r="C1181">
        <v>147.58000000000001</v>
      </c>
      <c r="D1181" s="2">
        <v>0.10248842592592593</v>
      </c>
      <c r="E1181">
        <v>30.501999999999999</v>
      </c>
      <c r="F1181" s="2">
        <v>3.3564814814814816E-3</v>
      </c>
      <c r="G1181">
        <v>12.4</v>
      </c>
      <c r="H1181">
        <v>14.01</v>
      </c>
      <c r="I1181">
        <v>160</v>
      </c>
      <c r="J1181">
        <v>149</v>
      </c>
      <c r="K1181">
        <v>2072</v>
      </c>
      <c r="L1181" s="2">
        <v>3.1365740740740742E-3</v>
      </c>
      <c r="M1181" s="2">
        <v>1.6145833333333335E-2</v>
      </c>
      <c r="N1181" s="2">
        <v>3.2650462962962964E-2</v>
      </c>
      <c r="O1181" s="2">
        <v>6.9884259259259257E-2</v>
      </c>
      <c r="P1181" s="2">
        <v>0</v>
      </c>
    </row>
    <row r="1182" spans="1:16" x14ac:dyDescent="0.3">
      <c r="A1182" s="1">
        <v>45899.959722222222</v>
      </c>
      <c r="B1182" s="1">
        <v>45899.998912037037</v>
      </c>
      <c r="C1182">
        <v>56.45</v>
      </c>
      <c r="D1182" s="2">
        <v>3.9189814814814816E-2</v>
      </c>
      <c r="E1182">
        <v>10.504</v>
      </c>
      <c r="F1182" s="2">
        <v>3.7268518518518519E-3</v>
      </c>
      <c r="G1182">
        <v>11.17</v>
      </c>
      <c r="H1182">
        <v>12.43</v>
      </c>
      <c r="I1182">
        <v>148</v>
      </c>
      <c r="J1182">
        <v>138</v>
      </c>
      <c r="K1182">
        <v>733</v>
      </c>
      <c r="L1182" s="2">
        <v>3.6111111111111109E-3</v>
      </c>
      <c r="M1182" s="2">
        <v>1.8425925925925925E-2</v>
      </c>
      <c r="N1182" s="2">
        <v>3.7291666666666667E-2</v>
      </c>
      <c r="O1182" s="2">
        <v>0</v>
      </c>
      <c r="P1182" s="2">
        <v>0</v>
      </c>
    </row>
    <row r="1183" spans="1:16" x14ac:dyDescent="0.3">
      <c r="A1183" s="1">
        <v>45901.89943287037</v>
      </c>
      <c r="B1183" s="1">
        <v>45901.949895833335</v>
      </c>
      <c r="C1183">
        <v>70.680000000000007</v>
      </c>
      <c r="D1183" s="2">
        <v>4.9074074074074076E-2</v>
      </c>
      <c r="E1183">
        <v>15.250999999999999</v>
      </c>
      <c r="F1183" s="2">
        <v>3.2175925925925926E-3</v>
      </c>
      <c r="G1183">
        <v>12.95</v>
      </c>
      <c r="H1183">
        <v>14.61</v>
      </c>
      <c r="I1183">
        <v>164</v>
      </c>
      <c r="J1183">
        <v>151</v>
      </c>
      <c r="K1183">
        <v>1041</v>
      </c>
      <c r="L1183" s="2">
        <v>2.9166666666666668E-3</v>
      </c>
      <c r="M1183" s="2">
        <v>1.5428240740740741E-2</v>
      </c>
      <c r="N1183" s="2">
        <v>3.1585648148148147E-2</v>
      </c>
      <c r="O1183" s="2">
        <v>0</v>
      </c>
      <c r="P1183" s="2">
        <v>0</v>
      </c>
    </row>
    <row r="1184" spans="1:16" x14ac:dyDescent="0.3">
      <c r="A1184" s="1">
        <v>45903.856296296297</v>
      </c>
      <c r="B1184" s="1">
        <v>45903.934942129628</v>
      </c>
      <c r="C1184">
        <v>110.34</v>
      </c>
      <c r="D1184" s="2">
        <v>7.6620370370370366E-2</v>
      </c>
      <c r="E1184">
        <v>23.501999999999999</v>
      </c>
      <c r="F1184" s="2">
        <v>3.2523148148148147E-3</v>
      </c>
      <c r="G1184">
        <v>12.78</v>
      </c>
      <c r="H1184">
        <v>16.829999999999998</v>
      </c>
      <c r="I1184">
        <v>172</v>
      </c>
      <c r="J1184">
        <v>153</v>
      </c>
      <c r="K1184">
        <v>1604</v>
      </c>
      <c r="L1184" s="2">
        <v>2.8356481481481483E-3</v>
      </c>
      <c r="M1184" s="2">
        <v>1.4999999999999999E-2</v>
      </c>
      <c r="N1184" s="2">
        <v>3.0972222222222224E-2</v>
      </c>
      <c r="O1184" s="2">
        <v>6.8148148148148152E-2</v>
      </c>
      <c r="P1184" s="2">
        <v>0</v>
      </c>
    </row>
    <row r="1185" spans="1:16" x14ac:dyDescent="0.3">
      <c r="A1185" s="1">
        <v>45905.708854166667</v>
      </c>
      <c r="B1185" s="1">
        <v>45905.752222222225</v>
      </c>
      <c r="C1185">
        <v>62.3</v>
      </c>
      <c r="D1185" s="2">
        <v>4.3263888888888886E-2</v>
      </c>
      <c r="E1185">
        <v>12.25</v>
      </c>
      <c r="F1185" s="2">
        <v>3.5300925925925925E-3</v>
      </c>
      <c r="G1185">
        <v>11.8</v>
      </c>
      <c r="H1185">
        <v>12.8</v>
      </c>
      <c r="I1185">
        <v>165</v>
      </c>
      <c r="J1185">
        <v>151</v>
      </c>
      <c r="K1185">
        <v>892</v>
      </c>
      <c r="L1185" s="2">
        <v>3.3796296296296296E-3</v>
      </c>
      <c r="M1185" s="2">
        <v>1.7418981481481483E-2</v>
      </c>
      <c r="N1185" s="2">
        <v>3.5069444444444445E-2</v>
      </c>
      <c r="O1185" s="2">
        <v>0</v>
      </c>
      <c r="P1185" s="2">
        <v>0</v>
      </c>
    </row>
    <row r="1186" spans="1:16" x14ac:dyDescent="0.3">
      <c r="A1186" s="1">
        <v>45906.956458333334</v>
      </c>
      <c r="B1186" s="1">
        <v>45906.998518518521</v>
      </c>
      <c r="C1186">
        <v>60.58</v>
      </c>
      <c r="D1186" s="2">
        <v>4.2060185185185187E-2</v>
      </c>
      <c r="E1186">
        <v>12.249000000000001</v>
      </c>
      <c r="F1186" s="2">
        <v>3.425925925925926E-3</v>
      </c>
      <c r="G1186">
        <v>12.13</v>
      </c>
      <c r="H1186">
        <v>15.96</v>
      </c>
      <c r="I1186">
        <v>159</v>
      </c>
      <c r="J1186">
        <v>141</v>
      </c>
      <c r="K1186">
        <v>828</v>
      </c>
      <c r="L1186" s="2">
        <v>2.9745370370370373E-3</v>
      </c>
      <c r="M1186" s="2">
        <v>1.6296296296296295E-2</v>
      </c>
      <c r="N1186" s="2">
        <v>3.3888888888888892E-2</v>
      </c>
      <c r="O1186" s="2">
        <v>0</v>
      </c>
      <c r="P1186" s="2">
        <v>0</v>
      </c>
    </row>
    <row r="1187" spans="1:16" x14ac:dyDescent="0.3">
      <c r="A1187" s="1">
        <v>45907.892962962964</v>
      </c>
      <c r="B1187" s="1">
        <v>45907.943865740737</v>
      </c>
      <c r="C1187">
        <v>69.739999999999995</v>
      </c>
      <c r="D1187" s="2">
        <v>4.8425925925925928E-2</v>
      </c>
      <c r="E1187">
        <v>15.504</v>
      </c>
      <c r="F1187" s="2">
        <v>3.1134259259259257E-3</v>
      </c>
      <c r="G1187">
        <v>13.34</v>
      </c>
      <c r="H1187">
        <v>16.66</v>
      </c>
      <c r="I1187">
        <v>169</v>
      </c>
      <c r="J1187">
        <v>150</v>
      </c>
      <c r="K1187">
        <v>1034</v>
      </c>
      <c r="L1187" s="2">
        <v>2.7083333333333334E-3</v>
      </c>
      <c r="M1187" s="2">
        <v>1.5127314814814816E-2</v>
      </c>
      <c r="N1187" s="2">
        <v>3.0416666666666668E-2</v>
      </c>
      <c r="O1187" s="2">
        <v>0</v>
      </c>
      <c r="P1187" s="2">
        <v>0</v>
      </c>
    </row>
    <row r="1188" spans="1:16" x14ac:dyDescent="0.3">
      <c r="A1188" s="1">
        <v>45909.913217592592</v>
      </c>
      <c r="B1188" s="1">
        <v>45909.96837962963</v>
      </c>
      <c r="C1188">
        <v>79.38</v>
      </c>
      <c r="D1188" s="2">
        <v>5.5115740740740743E-2</v>
      </c>
      <c r="E1188">
        <v>15.499000000000001</v>
      </c>
      <c r="F1188" s="2">
        <v>3.5532407407407409E-3</v>
      </c>
      <c r="G1188">
        <v>11.71</v>
      </c>
      <c r="H1188">
        <v>14.54</v>
      </c>
      <c r="I1188">
        <v>156</v>
      </c>
      <c r="J1188">
        <v>141</v>
      </c>
      <c r="K1188">
        <v>1065</v>
      </c>
      <c r="L1188" s="2">
        <v>3.1712962962962962E-3</v>
      </c>
      <c r="M1188" s="2">
        <v>1.7291666666666667E-2</v>
      </c>
      <c r="N1188" s="2">
        <v>3.5277777777777776E-2</v>
      </c>
      <c r="O1188" s="2">
        <v>0</v>
      </c>
      <c r="P1188" s="2">
        <v>0</v>
      </c>
    </row>
    <row r="1189" spans="1:16" x14ac:dyDescent="0.3">
      <c r="A1189" s="1">
        <v>45910.947812500002</v>
      </c>
      <c r="B1189" s="1">
        <v>45910.996608796297</v>
      </c>
      <c r="C1189">
        <v>69.86</v>
      </c>
      <c r="D1189" s="2">
        <v>4.8506944444444443E-2</v>
      </c>
      <c r="E1189">
        <v>14.246</v>
      </c>
      <c r="F1189" s="2">
        <v>3.4027777777777776E-3</v>
      </c>
      <c r="G1189">
        <v>12.23</v>
      </c>
      <c r="H1189">
        <v>15.52</v>
      </c>
      <c r="I1189">
        <v>154</v>
      </c>
      <c r="J1189">
        <v>143</v>
      </c>
      <c r="K1189">
        <v>966</v>
      </c>
      <c r="L1189" s="2">
        <v>3.2175925925925926E-3</v>
      </c>
      <c r="M1189" s="2">
        <v>1.6620370370370369E-2</v>
      </c>
      <c r="N1189" s="2">
        <v>3.3692129629629627E-2</v>
      </c>
      <c r="O1189" s="2">
        <v>0</v>
      </c>
      <c r="P1189" s="2">
        <v>0</v>
      </c>
    </row>
    <row r="1190" spans="1:16" x14ac:dyDescent="0.3">
      <c r="A1190" s="1">
        <v>45912.696956018517</v>
      </c>
      <c r="B1190" s="1">
        <v>45912.750763888886</v>
      </c>
      <c r="C1190">
        <v>74.87</v>
      </c>
      <c r="D1190" s="2">
        <v>5.199074074074074E-2</v>
      </c>
      <c r="E1190">
        <v>15.247999999999999</v>
      </c>
      <c r="F1190" s="2">
        <v>3.4027777777777776E-3</v>
      </c>
      <c r="G1190">
        <v>12.22</v>
      </c>
      <c r="H1190">
        <v>15.12</v>
      </c>
      <c r="I1190">
        <v>160</v>
      </c>
      <c r="J1190">
        <v>147</v>
      </c>
      <c r="K1190">
        <v>1055</v>
      </c>
      <c r="L1190" s="2">
        <v>3.1828703703703702E-3</v>
      </c>
      <c r="M1190" s="2">
        <v>1.6759259259259258E-2</v>
      </c>
      <c r="N1190" s="2">
        <v>3.3703703703703701E-2</v>
      </c>
      <c r="O1190" s="2">
        <v>0</v>
      </c>
      <c r="P1190" s="2">
        <v>0</v>
      </c>
    </row>
    <row r="1191" spans="1:16" x14ac:dyDescent="0.3">
      <c r="A1191" s="1">
        <v>45913.935520833336</v>
      </c>
      <c r="B1191" s="1">
        <v>45913.98238425926</v>
      </c>
      <c r="C1191">
        <v>64.98</v>
      </c>
      <c r="D1191" s="2">
        <v>4.5127314814814815E-2</v>
      </c>
      <c r="E1191">
        <v>12.497999999999999</v>
      </c>
      <c r="F1191" s="2">
        <v>3.5995370370370369E-3</v>
      </c>
      <c r="G1191">
        <v>11.54</v>
      </c>
      <c r="H1191">
        <v>15.96</v>
      </c>
      <c r="I1191">
        <v>159</v>
      </c>
      <c r="J1191">
        <v>139</v>
      </c>
      <c r="K1191">
        <v>858</v>
      </c>
      <c r="L1191" s="2">
        <v>3.2986111111111111E-3</v>
      </c>
      <c r="M1191" s="2">
        <v>1.7696759259259259E-2</v>
      </c>
      <c r="N1191" s="2">
        <v>3.5972222222222225E-2</v>
      </c>
      <c r="O1191" s="2">
        <v>0</v>
      </c>
      <c r="P1191" s="2">
        <v>0</v>
      </c>
    </row>
    <row r="1192" spans="1:16" x14ac:dyDescent="0.3">
      <c r="A1192" s="1">
        <v>45914.907847222225</v>
      </c>
      <c r="B1192" s="1">
        <v>45914.963125000002</v>
      </c>
      <c r="C1192">
        <v>78.069999999999993</v>
      </c>
      <c r="D1192" s="2">
        <v>5.4212962962962963E-2</v>
      </c>
      <c r="E1192">
        <v>16.5</v>
      </c>
      <c r="F1192" s="2">
        <v>3.2754629629629631E-3</v>
      </c>
      <c r="G1192">
        <v>12.68</v>
      </c>
      <c r="H1192">
        <v>18.88</v>
      </c>
      <c r="I1192">
        <v>169</v>
      </c>
      <c r="J1192">
        <v>153</v>
      </c>
      <c r="K1192">
        <v>1143</v>
      </c>
      <c r="L1192" s="2">
        <v>2.8472222222222223E-3</v>
      </c>
      <c r="M1192" s="2">
        <v>1.5381944444444445E-2</v>
      </c>
      <c r="N1192" s="2">
        <v>3.1446759259259258E-2</v>
      </c>
      <c r="O1192" s="2">
        <v>0</v>
      </c>
      <c r="P1192" s="2">
        <v>0</v>
      </c>
    </row>
    <row r="1193" spans="1:16" x14ac:dyDescent="0.3">
      <c r="A1193" s="1">
        <v>45916.898240740738</v>
      </c>
      <c r="B1193" s="1">
        <v>45916.951562499999</v>
      </c>
      <c r="C1193">
        <v>76.790000000000006</v>
      </c>
      <c r="D1193" s="2">
        <v>5.3321759259259256E-2</v>
      </c>
      <c r="E1193">
        <v>16.254000000000001</v>
      </c>
      <c r="F1193" s="2">
        <v>3.2754629629629631E-3</v>
      </c>
      <c r="G1193">
        <v>12.7</v>
      </c>
      <c r="H1193">
        <v>16.73</v>
      </c>
      <c r="I1193">
        <v>157</v>
      </c>
      <c r="J1193">
        <v>144</v>
      </c>
      <c r="K1193">
        <v>1082</v>
      </c>
      <c r="L1193" s="2">
        <v>3.0324074074074073E-3</v>
      </c>
      <c r="M1193" s="2">
        <v>1.5694444444444445E-2</v>
      </c>
      <c r="N1193" s="2">
        <v>3.201388888888889E-2</v>
      </c>
      <c r="O1193" s="2">
        <v>0</v>
      </c>
      <c r="P1193" s="2">
        <v>0</v>
      </c>
    </row>
    <row r="1194" spans="1:16" x14ac:dyDescent="0.3">
      <c r="A1194" s="1">
        <v>45917.921689814815</v>
      </c>
      <c r="B1194" s="1">
        <v>45917.970925925925</v>
      </c>
      <c r="C1194">
        <v>70.91</v>
      </c>
      <c r="D1194" s="2">
        <v>4.9236111111111112E-2</v>
      </c>
      <c r="E1194">
        <v>13.504</v>
      </c>
      <c r="F1194" s="2">
        <v>3.6458333333333334E-3</v>
      </c>
      <c r="G1194">
        <v>11.43</v>
      </c>
      <c r="H1194">
        <v>17.54</v>
      </c>
      <c r="I1194">
        <v>151</v>
      </c>
      <c r="J1194">
        <v>135</v>
      </c>
      <c r="K1194">
        <v>917</v>
      </c>
      <c r="L1194" s="2">
        <v>3.5069444444444445E-3</v>
      </c>
      <c r="M1194" s="2">
        <v>1.7939814814814815E-2</v>
      </c>
      <c r="N1194" s="2">
        <v>3.6168981481481483E-2</v>
      </c>
      <c r="O1194" s="2">
        <v>0</v>
      </c>
      <c r="P1194" s="2">
        <v>0</v>
      </c>
    </row>
    <row r="1195" spans="1:16" x14ac:dyDescent="0.3">
      <c r="A1195" s="1">
        <v>45919.683148148149</v>
      </c>
      <c r="B1195" s="1">
        <v>45919.736250000002</v>
      </c>
      <c r="C1195">
        <v>74.040000000000006</v>
      </c>
      <c r="D1195" s="2">
        <v>5.1412037037037034E-2</v>
      </c>
      <c r="E1195">
        <v>16.501999999999999</v>
      </c>
      <c r="F1195" s="2">
        <v>3.1134259259259257E-3</v>
      </c>
      <c r="G1195">
        <v>13.37</v>
      </c>
      <c r="H1195">
        <v>15.52</v>
      </c>
      <c r="I1195">
        <v>164</v>
      </c>
      <c r="J1195">
        <v>155</v>
      </c>
      <c r="K1195">
        <v>1118</v>
      </c>
      <c r="L1195" s="2">
        <v>2.9745370370370373E-3</v>
      </c>
      <c r="M1195" s="2">
        <v>1.5347222222222222E-2</v>
      </c>
      <c r="N1195" s="2">
        <v>3.0891203703703702E-2</v>
      </c>
      <c r="O1195" s="2">
        <v>0</v>
      </c>
      <c r="P1195" s="2">
        <v>0</v>
      </c>
    </row>
    <row r="1196" spans="1:16" x14ac:dyDescent="0.3">
      <c r="A1196" s="1">
        <v>45920.928113425929</v>
      </c>
      <c r="B1196" s="1">
        <v>45920.981504629628</v>
      </c>
      <c r="C1196">
        <v>76.900000000000006</v>
      </c>
      <c r="D1196" s="2">
        <v>5.3391203703703705E-2</v>
      </c>
      <c r="E1196">
        <v>15.507</v>
      </c>
      <c r="F1196" s="2">
        <v>3.4375E-3</v>
      </c>
      <c r="G1196">
        <v>12.1</v>
      </c>
      <c r="H1196">
        <v>16.93</v>
      </c>
      <c r="I1196">
        <v>154</v>
      </c>
      <c r="J1196">
        <v>139</v>
      </c>
      <c r="K1196">
        <v>1039</v>
      </c>
      <c r="L1196" s="2">
        <v>3.2407407407407406E-3</v>
      </c>
      <c r="M1196" s="2">
        <v>1.6747685185185185E-2</v>
      </c>
      <c r="N1196" s="2">
        <v>3.3831018518518517E-2</v>
      </c>
      <c r="O1196" s="2">
        <v>0</v>
      </c>
      <c r="P1196" s="2">
        <v>0</v>
      </c>
    </row>
    <row r="1197" spans="1:16" x14ac:dyDescent="0.3">
      <c r="A1197" s="1">
        <v>45922.683298611111</v>
      </c>
      <c r="B1197" s="1">
        <v>45922.750092592592</v>
      </c>
      <c r="C1197">
        <v>93.38</v>
      </c>
      <c r="D1197" s="2">
        <v>6.4849537037037039E-2</v>
      </c>
      <c r="E1197">
        <v>18.248999999999999</v>
      </c>
      <c r="F1197" s="2">
        <v>3.5532407407407409E-3</v>
      </c>
      <c r="G1197">
        <v>11.73</v>
      </c>
      <c r="H1197">
        <v>12.97</v>
      </c>
      <c r="I1197">
        <v>158</v>
      </c>
      <c r="J1197">
        <v>143</v>
      </c>
      <c r="K1197">
        <v>1266</v>
      </c>
      <c r="L1197" s="2">
        <v>3.3333333333333335E-3</v>
      </c>
      <c r="M1197" s="2">
        <v>1.7060185185185185E-2</v>
      </c>
      <c r="N1197" s="2">
        <v>3.5000000000000003E-2</v>
      </c>
      <c r="O1197" s="2">
        <v>0</v>
      </c>
      <c r="P1197" s="2">
        <v>0</v>
      </c>
    </row>
    <row r="1198" spans="1:16" x14ac:dyDescent="0.3">
      <c r="A1198" s="1">
        <v>45924.907060185185</v>
      </c>
      <c r="B1198" s="1">
        <v>45924.979467592595</v>
      </c>
      <c r="C1198">
        <v>102.1</v>
      </c>
      <c r="D1198" s="2">
        <v>7.0902777777777773E-2</v>
      </c>
      <c r="E1198">
        <v>21.248999999999999</v>
      </c>
      <c r="F1198" s="2">
        <v>3.3333333333333335E-3</v>
      </c>
      <c r="G1198">
        <v>12.49</v>
      </c>
      <c r="H1198">
        <v>14.95</v>
      </c>
      <c r="I1198">
        <v>171</v>
      </c>
      <c r="J1198">
        <v>147</v>
      </c>
      <c r="K1198">
        <v>1459</v>
      </c>
      <c r="L1198" s="2">
        <v>2.8703703703703703E-3</v>
      </c>
      <c r="M1198" s="2">
        <v>1.5289351851851853E-2</v>
      </c>
      <c r="N1198" s="2">
        <v>3.1608796296296295E-2</v>
      </c>
      <c r="O1198" s="2">
        <v>7.0358796296296294E-2</v>
      </c>
      <c r="P1198" s="2">
        <v>0</v>
      </c>
    </row>
    <row r="1199" spans="1:16" x14ac:dyDescent="0.3">
      <c r="A1199" s="1">
        <v>45926.659733796296</v>
      </c>
      <c r="B1199" s="1">
        <v>45926.734444444446</v>
      </c>
      <c r="C1199">
        <v>102.87</v>
      </c>
      <c r="D1199" s="2">
        <v>7.1423611111111104E-2</v>
      </c>
      <c r="E1199">
        <v>22.503</v>
      </c>
      <c r="F1199" s="2">
        <v>3.1712962962962962E-3</v>
      </c>
      <c r="G1199">
        <v>13.13</v>
      </c>
      <c r="H1199">
        <v>17.77</v>
      </c>
      <c r="I1199">
        <v>172</v>
      </c>
      <c r="J1199">
        <v>153</v>
      </c>
      <c r="K1199">
        <v>1518</v>
      </c>
      <c r="L1199" s="2">
        <v>2.8124999999999999E-3</v>
      </c>
      <c r="M1199" s="2">
        <v>1.4988425925925926E-2</v>
      </c>
      <c r="N1199" s="2">
        <v>3.037037037037037E-2</v>
      </c>
      <c r="O1199" s="2">
        <v>6.6770833333333335E-2</v>
      </c>
      <c r="P1199" s="2">
        <v>0</v>
      </c>
    </row>
    <row r="1200" spans="1:16" x14ac:dyDescent="0.3">
      <c r="A1200" s="1">
        <v>45927.944861111115</v>
      </c>
      <c r="B1200" s="1">
        <v>45927.989710648151</v>
      </c>
      <c r="C1200">
        <v>64.58</v>
      </c>
      <c r="D1200" s="2">
        <v>4.4849537037037035E-2</v>
      </c>
      <c r="E1200">
        <v>12.496</v>
      </c>
      <c r="F1200" s="2">
        <v>3.5879629629629629E-3</v>
      </c>
      <c r="G1200">
        <v>11.61</v>
      </c>
      <c r="H1200">
        <v>14.78</v>
      </c>
      <c r="I1200">
        <v>151</v>
      </c>
      <c r="J1200">
        <v>135</v>
      </c>
      <c r="K1200">
        <v>836</v>
      </c>
      <c r="L1200" s="2">
        <v>3.3564814814814816E-3</v>
      </c>
      <c r="M1200" s="2">
        <v>1.773148148148148E-2</v>
      </c>
      <c r="N1200" s="2">
        <v>3.5891203703703703E-2</v>
      </c>
      <c r="O1200" s="2">
        <v>0</v>
      </c>
      <c r="P1200" s="2">
        <v>0</v>
      </c>
    </row>
    <row r="1201" spans="1:16" x14ac:dyDescent="0.3">
      <c r="A1201" s="1">
        <v>45929.870995370373</v>
      </c>
      <c r="B1201" s="1">
        <v>45929.941307870373</v>
      </c>
      <c r="C1201">
        <v>84.71</v>
      </c>
      <c r="D1201" s="2">
        <v>5.8819444444444445E-2</v>
      </c>
      <c r="E1201">
        <v>16.251000000000001</v>
      </c>
      <c r="F1201" s="2">
        <v>3.6111111111111109E-3</v>
      </c>
      <c r="G1201">
        <v>11.51</v>
      </c>
      <c r="H1201">
        <v>14.24</v>
      </c>
      <c r="I1201">
        <v>151</v>
      </c>
      <c r="J1201">
        <v>135</v>
      </c>
      <c r="K1201">
        <v>1085</v>
      </c>
      <c r="L1201" s="2">
        <v>3.460648148148148E-3</v>
      </c>
      <c r="M1201" s="2">
        <v>1.773148148148148E-2</v>
      </c>
      <c r="N1201" s="2">
        <v>3.574074074074074E-2</v>
      </c>
      <c r="O1201" s="2">
        <v>0</v>
      </c>
      <c r="P1201" s="2">
        <v>0</v>
      </c>
    </row>
    <row r="1202" spans="1:16" x14ac:dyDescent="0.3">
      <c r="A1202" s="1">
        <v>45931.238229166665</v>
      </c>
      <c r="B1202" s="1">
        <v>45931.331909722219</v>
      </c>
      <c r="C1202">
        <v>117.1</v>
      </c>
      <c r="D1202" s="2">
        <v>8.1307870370370364E-2</v>
      </c>
      <c r="E1202">
        <v>22.253</v>
      </c>
      <c r="F1202" s="2">
        <v>3.6458333333333334E-3</v>
      </c>
      <c r="G1202">
        <v>11.4</v>
      </c>
      <c r="H1202">
        <v>12.8</v>
      </c>
      <c r="I1202">
        <v>148</v>
      </c>
      <c r="J1202">
        <v>138</v>
      </c>
      <c r="K1202">
        <v>1497</v>
      </c>
      <c r="L1202" s="2">
        <v>3.425925925925926E-3</v>
      </c>
      <c r="M1202" s="2">
        <v>1.7719907407407406E-2</v>
      </c>
      <c r="N1202" s="2">
        <v>3.574074074074074E-2</v>
      </c>
      <c r="O1202" s="2">
        <v>7.6863425925925932E-2</v>
      </c>
      <c r="P1202" s="2">
        <v>0</v>
      </c>
    </row>
    <row r="1203" spans="1:16" x14ac:dyDescent="0.3">
      <c r="A1203" s="1">
        <v>45933.21303240741</v>
      </c>
      <c r="B1203" s="1">
        <v>45933.322581018518</v>
      </c>
      <c r="C1203">
        <v>151.78</v>
      </c>
      <c r="D1203" s="2">
        <v>0.10540509259259259</v>
      </c>
      <c r="E1203">
        <v>32.25</v>
      </c>
      <c r="F1203" s="2">
        <v>3.2638888888888891E-3</v>
      </c>
      <c r="G1203">
        <v>12.75</v>
      </c>
      <c r="H1203">
        <v>15.28</v>
      </c>
      <c r="I1203">
        <v>162</v>
      </c>
      <c r="J1203">
        <v>143</v>
      </c>
      <c r="K1203">
        <v>2150</v>
      </c>
      <c r="L1203" s="2">
        <v>2.9398148148148148E-3</v>
      </c>
      <c r="M1203" s="2">
        <v>1.5289351851851853E-2</v>
      </c>
      <c r="N1203" s="2">
        <v>3.1550925925925927E-2</v>
      </c>
      <c r="O1203" s="2">
        <v>6.761574074074074E-2</v>
      </c>
      <c r="P1203" s="2">
        <v>0</v>
      </c>
    </row>
    <row r="1204" spans="1:16" x14ac:dyDescent="0.3">
      <c r="A1204" s="1">
        <v>45934.925625000003</v>
      </c>
      <c r="B1204" s="1">
        <v>45934.97415509259</v>
      </c>
      <c r="C1204">
        <v>66.39</v>
      </c>
      <c r="D1204" s="2">
        <v>4.6099537037037036E-2</v>
      </c>
      <c r="E1204">
        <v>12.497999999999999</v>
      </c>
      <c r="F1204" s="2">
        <v>3.6805555555555554E-3</v>
      </c>
      <c r="G1204">
        <v>11.29</v>
      </c>
      <c r="H1204">
        <v>12.83</v>
      </c>
      <c r="I1204">
        <v>154</v>
      </c>
      <c r="J1204">
        <v>138</v>
      </c>
      <c r="K1204">
        <v>870</v>
      </c>
      <c r="L1204" s="2">
        <v>3.425925925925926E-3</v>
      </c>
      <c r="M1204" s="2">
        <v>1.8032407407407407E-2</v>
      </c>
      <c r="N1204" s="2">
        <v>3.6608796296296299E-2</v>
      </c>
      <c r="O1204" s="2">
        <v>0</v>
      </c>
      <c r="P1204" s="2">
        <v>0</v>
      </c>
    </row>
    <row r="1205" spans="1:16" x14ac:dyDescent="0.3">
      <c r="A1205" s="1">
        <v>45935.960590277777</v>
      </c>
      <c r="B1205" s="1">
        <v>45935.991608796299</v>
      </c>
      <c r="C1205">
        <v>44.65</v>
      </c>
      <c r="D1205" s="2">
        <v>3.0995370370370371E-2</v>
      </c>
      <c r="E1205">
        <v>10.051</v>
      </c>
      <c r="F1205" s="2">
        <v>3.0787037037037037E-3</v>
      </c>
      <c r="G1205">
        <v>13.51</v>
      </c>
      <c r="H1205">
        <v>14.81</v>
      </c>
      <c r="I1205">
        <v>161</v>
      </c>
      <c r="J1205">
        <v>148</v>
      </c>
      <c r="K1205">
        <v>668</v>
      </c>
      <c r="L1205" s="2">
        <v>2.9513888888888888E-3</v>
      </c>
      <c r="M1205" s="2">
        <v>1.5277777777777777E-2</v>
      </c>
      <c r="N1205" s="2">
        <v>3.0868055555555555E-2</v>
      </c>
      <c r="O1205" s="2">
        <v>0</v>
      </c>
      <c r="P1205" s="2">
        <v>0</v>
      </c>
    </row>
    <row r="1206" spans="1:16" x14ac:dyDescent="0.3">
      <c r="A1206" s="1">
        <v>45936.694988425923</v>
      </c>
      <c r="B1206" s="1">
        <v>45936.73233796296</v>
      </c>
      <c r="C1206">
        <v>50.56</v>
      </c>
      <c r="D1206" s="2">
        <v>3.5104166666666665E-2</v>
      </c>
      <c r="E1206">
        <v>10.25</v>
      </c>
      <c r="F1206" s="2">
        <v>3.414351851851852E-3</v>
      </c>
      <c r="G1206">
        <v>12.16</v>
      </c>
      <c r="H1206">
        <v>18.239999999999998</v>
      </c>
      <c r="I1206">
        <v>164</v>
      </c>
      <c r="J1206">
        <v>140</v>
      </c>
      <c r="K1206">
        <v>689</v>
      </c>
      <c r="L1206" s="2">
        <v>2.9745370370370373E-3</v>
      </c>
      <c r="M1206" s="2">
        <v>1.6261574074074074E-2</v>
      </c>
      <c r="N1206" s="2">
        <v>3.4247685185185187E-2</v>
      </c>
      <c r="O1206" s="2">
        <v>0</v>
      </c>
      <c r="P1206" s="2">
        <v>0</v>
      </c>
    </row>
    <row r="1207" spans="1:16" x14ac:dyDescent="0.3">
      <c r="A1207" s="1">
        <v>45938.818171296298</v>
      </c>
      <c r="B1207" s="1">
        <v>45938.864062499997</v>
      </c>
      <c r="C1207">
        <v>66.099999999999994</v>
      </c>
      <c r="D1207" s="2">
        <v>4.5891203703703705E-2</v>
      </c>
      <c r="E1207">
        <v>13.502000000000001</v>
      </c>
      <c r="F1207" s="2">
        <v>3.3912037037037036E-3</v>
      </c>
      <c r="G1207">
        <v>12.26</v>
      </c>
      <c r="H1207">
        <v>15.58</v>
      </c>
      <c r="I1207">
        <v>161</v>
      </c>
      <c r="J1207">
        <v>140</v>
      </c>
      <c r="K1207">
        <v>897</v>
      </c>
      <c r="L1207" s="2">
        <v>3.0555555555555557E-3</v>
      </c>
      <c r="M1207" s="2">
        <v>1.6226851851851853E-2</v>
      </c>
      <c r="N1207" s="2">
        <v>3.3402777777777781E-2</v>
      </c>
      <c r="O1207" s="2">
        <v>0</v>
      </c>
      <c r="P1207" s="2">
        <v>0</v>
      </c>
    </row>
    <row r="1208" spans="1:16" x14ac:dyDescent="0.3">
      <c r="A1208" s="1">
        <v>45940.292731481481</v>
      </c>
      <c r="B1208" s="1">
        <v>45940.319594907407</v>
      </c>
      <c r="C1208">
        <v>38.18</v>
      </c>
      <c r="D1208" s="2">
        <v>2.6504629629629628E-2</v>
      </c>
      <c r="E1208">
        <v>10.013999999999999</v>
      </c>
      <c r="F1208" s="2">
        <v>2.638888888888889E-3</v>
      </c>
      <c r="G1208">
        <v>15.74</v>
      </c>
      <c r="H1208">
        <v>21.2</v>
      </c>
      <c r="I1208">
        <v>179</v>
      </c>
      <c r="J1208">
        <v>167</v>
      </c>
      <c r="K1208">
        <v>637</v>
      </c>
      <c r="L1208" s="2">
        <v>2.488425925925926E-3</v>
      </c>
      <c r="M1208" s="2">
        <v>1.3217592592592593E-2</v>
      </c>
      <c r="N1208" s="2">
        <v>2.6504629629629628E-2</v>
      </c>
      <c r="O1208" s="2">
        <v>0</v>
      </c>
      <c r="P1208" s="2">
        <v>0</v>
      </c>
    </row>
    <row r="1209" spans="1:16" x14ac:dyDescent="0.3">
      <c r="A1209" s="1">
        <v>45940.334293981483</v>
      </c>
      <c r="B1209" s="1">
        <v>45940.352905092594</v>
      </c>
      <c r="C1209">
        <v>26.81</v>
      </c>
      <c r="D1209" s="2">
        <v>1.861111111111111E-2</v>
      </c>
      <c r="E1209">
        <v>5.2530000000000001</v>
      </c>
      <c r="F1209" s="2">
        <v>3.5416666666666665E-3</v>
      </c>
      <c r="G1209">
        <v>11.76</v>
      </c>
      <c r="H1209">
        <v>14.48</v>
      </c>
      <c r="I1209">
        <v>149</v>
      </c>
      <c r="J1209">
        <v>137</v>
      </c>
      <c r="K1209">
        <v>365</v>
      </c>
      <c r="L1209" s="2">
        <v>3.2291666666666666E-3</v>
      </c>
      <c r="M1209" s="2">
        <v>1.7685185185185186E-2</v>
      </c>
      <c r="N1209" s="2">
        <v>0</v>
      </c>
      <c r="O1209" s="2">
        <v>0</v>
      </c>
      <c r="P1209" s="2">
        <v>0</v>
      </c>
    </row>
    <row r="1210" spans="1:16" x14ac:dyDescent="0.3">
      <c r="A1210" s="1">
        <v>45942.642708333333</v>
      </c>
      <c r="B1210" s="1">
        <v>45942.711412037039</v>
      </c>
      <c r="C1210">
        <v>96.12</v>
      </c>
      <c r="D1210" s="2">
        <v>6.6747685185185188E-2</v>
      </c>
      <c r="E1210">
        <v>21.754000000000001</v>
      </c>
      <c r="F1210" s="2">
        <v>3.0671296296296297E-3</v>
      </c>
      <c r="G1210">
        <v>13.58</v>
      </c>
      <c r="H1210">
        <v>17.54</v>
      </c>
      <c r="I1210">
        <v>174</v>
      </c>
      <c r="J1210">
        <v>156</v>
      </c>
      <c r="K1210">
        <v>1463</v>
      </c>
      <c r="L1210" s="2">
        <v>2.6041666666666665E-3</v>
      </c>
      <c r="M1210" s="2">
        <v>1.4386574074074074E-2</v>
      </c>
      <c r="N1210" s="2">
        <v>2.9467592592592594E-2</v>
      </c>
      <c r="O1210" s="2">
        <v>6.4571759259259259E-2</v>
      </c>
      <c r="P1210" s="2">
        <v>0</v>
      </c>
    </row>
    <row r="1211" spans="1:16" x14ac:dyDescent="0.3">
      <c r="A1211" s="1">
        <v>45945.908668981479</v>
      </c>
      <c r="B1211" s="1">
        <v>45945.966412037036</v>
      </c>
      <c r="C1211">
        <v>81.430000000000007</v>
      </c>
      <c r="D1211" s="2">
        <v>5.6539351851851855E-2</v>
      </c>
      <c r="E1211">
        <v>15.755000000000001</v>
      </c>
      <c r="F1211" s="2">
        <v>3.5879629629629629E-3</v>
      </c>
      <c r="G1211">
        <v>11.61</v>
      </c>
      <c r="H1211">
        <v>15.15</v>
      </c>
      <c r="I1211">
        <v>151</v>
      </c>
      <c r="J1211">
        <v>131</v>
      </c>
      <c r="K1211">
        <v>1053</v>
      </c>
      <c r="L1211" s="2">
        <v>3.2175925925925926E-3</v>
      </c>
      <c r="M1211" s="2">
        <v>1.7349537037037038E-2</v>
      </c>
      <c r="N1211" s="2">
        <v>3.5682870370370372E-2</v>
      </c>
      <c r="O1211" s="2">
        <v>0</v>
      </c>
      <c r="P1211" s="2">
        <v>0</v>
      </c>
    </row>
    <row r="1212" spans="1:16" x14ac:dyDescent="0.3">
      <c r="A1212" s="1">
        <v>45946.956643518519</v>
      </c>
      <c r="B1212" s="1">
        <v>45946.998900462961</v>
      </c>
      <c r="C1212">
        <v>60.86</v>
      </c>
      <c r="D1212" s="2">
        <v>4.2256944444444444E-2</v>
      </c>
      <c r="E1212">
        <v>13.26</v>
      </c>
      <c r="F1212" s="2">
        <v>3.1828703703703702E-3</v>
      </c>
      <c r="G1212">
        <v>13.07</v>
      </c>
      <c r="H1212">
        <v>14.68</v>
      </c>
      <c r="I1212">
        <v>166</v>
      </c>
      <c r="J1212">
        <v>149</v>
      </c>
      <c r="K1212">
        <v>897</v>
      </c>
      <c r="L1212" s="2">
        <v>3.0439814814814813E-3</v>
      </c>
      <c r="M1212" s="2">
        <v>1.5706018518518518E-2</v>
      </c>
      <c r="N1212" s="2">
        <v>3.170138888888889E-2</v>
      </c>
      <c r="O1212" s="2">
        <v>0</v>
      </c>
      <c r="P1212" s="2">
        <v>0</v>
      </c>
    </row>
    <row r="1213" spans="1:16" x14ac:dyDescent="0.3">
      <c r="A1213" s="1">
        <v>45947.68246527778</v>
      </c>
      <c r="B1213" s="1">
        <v>45947.723877314813</v>
      </c>
      <c r="C1213">
        <v>51.59</v>
      </c>
      <c r="D1213" s="2">
        <v>3.5821759259259262E-2</v>
      </c>
      <c r="E1213">
        <v>10.497999999999999</v>
      </c>
      <c r="F1213" s="2">
        <v>3.4027777777777776E-3</v>
      </c>
      <c r="G1213">
        <v>12.21</v>
      </c>
      <c r="H1213">
        <v>16.559999999999999</v>
      </c>
      <c r="I1213">
        <v>157</v>
      </c>
      <c r="J1213">
        <v>143</v>
      </c>
      <c r="K1213">
        <v>727</v>
      </c>
      <c r="L1213" s="2">
        <v>3.2407407407407406E-3</v>
      </c>
      <c r="M1213" s="2">
        <v>1.7002314814814814E-2</v>
      </c>
      <c r="N1213" s="2">
        <v>3.4155092592592591E-2</v>
      </c>
      <c r="O1213" s="2">
        <v>0</v>
      </c>
      <c r="P1213" s="2">
        <v>0</v>
      </c>
    </row>
    <row r="1214" spans="1:16" x14ac:dyDescent="0.3">
      <c r="A1214" s="1">
        <v>45949.865335648145</v>
      </c>
      <c r="B1214" s="1">
        <v>45949.93922453704</v>
      </c>
      <c r="C1214">
        <v>102.39</v>
      </c>
      <c r="D1214" s="2">
        <v>7.1099537037037031E-2</v>
      </c>
      <c r="E1214">
        <v>21.254999999999999</v>
      </c>
      <c r="F1214" s="2">
        <v>3.3449074074074076E-3</v>
      </c>
      <c r="G1214">
        <v>12.45</v>
      </c>
      <c r="H1214">
        <v>14.21</v>
      </c>
      <c r="I1214">
        <v>158</v>
      </c>
      <c r="J1214">
        <v>139</v>
      </c>
      <c r="K1214">
        <v>1427</v>
      </c>
      <c r="L1214" s="2">
        <v>3.0555555555555557E-3</v>
      </c>
      <c r="M1214" s="2">
        <v>1.5995370370370372E-2</v>
      </c>
      <c r="N1214" s="2">
        <v>3.2418981481481479E-2</v>
      </c>
      <c r="O1214" s="2">
        <v>7.0555555555555552E-2</v>
      </c>
      <c r="P1214" s="2">
        <v>0</v>
      </c>
    </row>
    <row r="1215" spans="1:16" x14ac:dyDescent="0.3">
      <c r="A1215" s="1">
        <v>45951.340381944443</v>
      </c>
      <c r="B1215" s="1">
        <v>45951.394965277781</v>
      </c>
      <c r="C1215">
        <v>77.28</v>
      </c>
      <c r="D1215" s="2">
        <v>5.3668981481481484E-2</v>
      </c>
      <c r="E1215">
        <v>16.753</v>
      </c>
      <c r="F1215" s="2">
        <v>3.1944444444444446E-3</v>
      </c>
      <c r="G1215">
        <v>13.01</v>
      </c>
      <c r="H1215">
        <v>15.79</v>
      </c>
      <c r="I1215">
        <v>168</v>
      </c>
      <c r="J1215">
        <v>152</v>
      </c>
      <c r="K1215">
        <v>1141</v>
      </c>
      <c r="L1215" s="2">
        <v>2.8819444444444444E-3</v>
      </c>
      <c r="M1215" s="2">
        <v>1.5196759259259259E-2</v>
      </c>
      <c r="N1215" s="2">
        <v>3.0752314814814816E-2</v>
      </c>
      <c r="O1215" s="2">
        <v>0</v>
      </c>
      <c r="P1215" s="2">
        <v>0</v>
      </c>
    </row>
    <row r="1216" spans="1:16" x14ac:dyDescent="0.3">
      <c r="A1216" s="1">
        <v>45952.936342592591</v>
      </c>
      <c r="B1216" s="1">
        <v>45952.978993055556</v>
      </c>
      <c r="C1216">
        <v>61.42</v>
      </c>
      <c r="D1216" s="2">
        <v>4.2650462962962966E-2</v>
      </c>
      <c r="E1216">
        <v>12.747999999999999</v>
      </c>
      <c r="F1216" s="2">
        <v>3.3449074074074076E-3</v>
      </c>
      <c r="G1216">
        <v>12.45</v>
      </c>
      <c r="H1216">
        <v>14.51</v>
      </c>
      <c r="I1216">
        <v>154</v>
      </c>
      <c r="J1216">
        <v>140</v>
      </c>
      <c r="K1216">
        <v>848</v>
      </c>
      <c r="L1216" s="2">
        <v>3.0324074074074073E-3</v>
      </c>
      <c r="M1216" s="2">
        <v>1.6018518518518519E-2</v>
      </c>
      <c r="N1216" s="2">
        <v>3.2916666666666664E-2</v>
      </c>
      <c r="O1216" s="2">
        <v>0</v>
      </c>
      <c r="P1216" s="2">
        <v>0</v>
      </c>
    </row>
    <row r="1217" spans="1:16" x14ac:dyDescent="0.3">
      <c r="A1217" s="1">
        <v>45954.253819444442</v>
      </c>
      <c r="B1217" s="1">
        <v>45954.327627314815</v>
      </c>
      <c r="C1217">
        <v>99.3</v>
      </c>
      <c r="D1217" s="2">
        <v>6.8946759259259263E-2</v>
      </c>
      <c r="E1217">
        <v>22.501999999999999</v>
      </c>
      <c r="F1217" s="2">
        <v>3.0555555555555557E-3</v>
      </c>
      <c r="G1217">
        <v>13.6</v>
      </c>
      <c r="H1217">
        <v>17.54</v>
      </c>
      <c r="I1217">
        <v>175</v>
      </c>
      <c r="J1217">
        <v>153</v>
      </c>
      <c r="K1217">
        <v>1499</v>
      </c>
      <c r="L1217" s="2">
        <v>2.7430555555555554E-3</v>
      </c>
      <c r="M1217" s="2">
        <v>1.3969907407407407E-2</v>
      </c>
      <c r="N1217" s="2">
        <v>2.9027777777777777E-2</v>
      </c>
      <c r="O1217" s="2">
        <v>6.3958333333333339E-2</v>
      </c>
      <c r="P1217" s="2">
        <v>0</v>
      </c>
    </row>
    <row r="1218" spans="1:16" x14ac:dyDescent="0.3">
      <c r="A1218" s="1">
        <v>45956.941481481481</v>
      </c>
      <c r="B1218" s="1">
        <v>45956.993043981478</v>
      </c>
      <c r="C1218">
        <v>74.260000000000005</v>
      </c>
      <c r="D1218" s="2">
        <v>5.1562499999999997E-2</v>
      </c>
      <c r="E1218">
        <v>15.502000000000001</v>
      </c>
      <c r="F1218" s="2">
        <v>3.3217592592592591E-3</v>
      </c>
      <c r="G1218">
        <v>12.53</v>
      </c>
      <c r="H1218">
        <v>18.37</v>
      </c>
      <c r="I1218">
        <v>166</v>
      </c>
      <c r="J1218">
        <v>142</v>
      </c>
      <c r="K1218">
        <v>1043</v>
      </c>
      <c r="L1218" s="2">
        <v>3.0208333333333333E-3</v>
      </c>
      <c r="M1218" s="2">
        <v>1.6122685185185184E-2</v>
      </c>
      <c r="N1218" s="2">
        <v>3.2557870370370369E-2</v>
      </c>
      <c r="O1218" s="2">
        <v>0</v>
      </c>
      <c r="P1218" s="2">
        <v>0</v>
      </c>
    </row>
    <row r="1219" spans="1:16" x14ac:dyDescent="0.3">
      <c r="A1219" s="1">
        <v>45957.960694444446</v>
      </c>
      <c r="B1219" s="1">
        <v>45957.998796296299</v>
      </c>
      <c r="C1219">
        <v>54.88</v>
      </c>
      <c r="D1219" s="2">
        <v>3.8101851851851852E-2</v>
      </c>
      <c r="E1219">
        <v>11.25</v>
      </c>
      <c r="F1219" s="2">
        <v>3.3796296296296296E-3</v>
      </c>
      <c r="G1219">
        <v>12.3</v>
      </c>
      <c r="H1219">
        <v>14.31</v>
      </c>
      <c r="I1219">
        <v>159</v>
      </c>
      <c r="J1219">
        <v>141</v>
      </c>
      <c r="K1219">
        <v>761</v>
      </c>
      <c r="L1219" s="2">
        <v>3.1944444444444446E-3</v>
      </c>
      <c r="M1219" s="2">
        <v>1.6215277777777776E-2</v>
      </c>
      <c r="N1219" s="2">
        <v>3.3506944444444443E-2</v>
      </c>
      <c r="O1219" s="2">
        <v>0</v>
      </c>
      <c r="P1219" s="2">
        <v>0</v>
      </c>
    </row>
    <row r="1220" spans="1:16" x14ac:dyDescent="0.3">
      <c r="A1220" s="1">
        <v>45958.828252314815</v>
      </c>
      <c r="B1220" s="1">
        <v>45958.838379629633</v>
      </c>
      <c r="C1220">
        <v>14.58</v>
      </c>
      <c r="D1220" s="2">
        <v>1.0127314814814815E-2</v>
      </c>
      <c r="E1220">
        <v>2.2519999999999998</v>
      </c>
      <c r="F1220" s="2">
        <v>4.4907407407407405E-3</v>
      </c>
      <c r="G1220">
        <v>9.26</v>
      </c>
      <c r="H1220">
        <v>10.65</v>
      </c>
      <c r="I1220">
        <v>129</v>
      </c>
      <c r="J1220">
        <v>116</v>
      </c>
      <c r="K1220">
        <v>157</v>
      </c>
      <c r="L1220" s="2">
        <v>4.31712962962963E-3</v>
      </c>
      <c r="M1220" s="2">
        <v>0</v>
      </c>
      <c r="N1220" s="2">
        <v>0</v>
      </c>
      <c r="O1220" s="2">
        <v>0</v>
      </c>
      <c r="P1220" s="2">
        <v>0</v>
      </c>
    </row>
    <row r="1221" spans="1:16" x14ac:dyDescent="0.3">
      <c r="A1221" s="1">
        <v>45959.866724537038</v>
      </c>
      <c r="B1221" s="1">
        <v>45959.874722222223</v>
      </c>
      <c r="C1221">
        <v>11.53</v>
      </c>
      <c r="D1221" s="2">
        <v>7.9976851851851858E-3</v>
      </c>
      <c r="E1221">
        <v>2.2530000000000001</v>
      </c>
      <c r="F1221" s="2">
        <v>3.5532407407407409E-3</v>
      </c>
      <c r="G1221">
        <v>11.72</v>
      </c>
      <c r="H1221">
        <v>12.83</v>
      </c>
      <c r="I1221">
        <v>147</v>
      </c>
      <c r="J1221">
        <v>134</v>
      </c>
      <c r="K1221">
        <v>158</v>
      </c>
      <c r="L1221" s="2">
        <v>3.5185185185185185E-3</v>
      </c>
      <c r="M1221" s="2">
        <v>0</v>
      </c>
      <c r="N1221" s="2">
        <v>0</v>
      </c>
      <c r="O1221" s="2">
        <v>0</v>
      </c>
      <c r="P1221" s="2">
        <v>0</v>
      </c>
    </row>
    <row r="1222" spans="1:16" x14ac:dyDescent="0.3">
      <c r="A1222" s="1">
        <v>45959.883472222224</v>
      </c>
      <c r="B1222" s="1">
        <v>45959.925011574072</v>
      </c>
      <c r="C1222">
        <v>59.82</v>
      </c>
      <c r="D1222" s="2">
        <v>4.1539351851851855E-2</v>
      </c>
      <c r="E1222">
        <v>15.103999999999999</v>
      </c>
      <c r="F1222" s="2">
        <v>2.7430555555555554E-3</v>
      </c>
      <c r="G1222">
        <v>15.15</v>
      </c>
      <c r="H1222">
        <v>16.760000000000002</v>
      </c>
      <c r="I1222">
        <v>176</v>
      </c>
      <c r="J1222">
        <v>170</v>
      </c>
      <c r="K1222">
        <v>1027</v>
      </c>
      <c r="L1222" s="2">
        <v>2.5925925925925925E-3</v>
      </c>
      <c r="M1222" s="2">
        <v>1.3518518518518518E-2</v>
      </c>
      <c r="N1222" s="2">
        <v>2.7268518518518518E-2</v>
      </c>
      <c r="O1222" s="2">
        <v>0</v>
      </c>
      <c r="P1222" s="2">
        <v>0</v>
      </c>
    </row>
    <row r="1223" spans="1:16" x14ac:dyDescent="0.3">
      <c r="A1223" s="1">
        <v>45961.625439814816</v>
      </c>
      <c r="B1223" s="1">
        <v>45961.637314814812</v>
      </c>
      <c r="C1223">
        <v>16.41</v>
      </c>
      <c r="D1223" s="2">
        <v>1.1388888888888889E-2</v>
      </c>
      <c r="E1223">
        <v>2.5510000000000002</v>
      </c>
      <c r="F1223" s="2">
        <v>4.4560185185185189E-3</v>
      </c>
      <c r="G1223">
        <v>9.33</v>
      </c>
      <c r="H1223">
        <v>13.03</v>
      </c>
      <c r="I1223">
        <v>136</v>
      </c>
      <c r="J1223">
        <v>124</v>
      </c>
      <c r="K1223">
        <v>184</v>
      </c>
      <c r="L1223" s="2">
        <v>4.3981481481481484E-3</v>
      </c>
      <c r="M1223" s="2">
        <v>0</v>
      </c>
      <c r="N1223" s="2">
        <v>0</v>
      </c>
      <c r="O1223" s="2">
        <v>0</v>
      </c>
      <c r="P1223" s="2">
        <v>0</v>
      </c>
    </row>
    <row r="1224" spans="1:16" x14ac:dyDescent="0.3">
      <c r="A1224" s="1">
        <v>45961.638495370367</v>
      </c>
      <c r="B1224" s="1">
        <v>45961.673726851855</v>
      </c>
      <c r="C1224">
        <v>50.74</v>
      </c>
      <c r="D1224" s="2">
        <v>3.5231481481481482E-2</v>
      </c>
      <c r="E1224">
        <v>10.254</v>
      </c>
      <c r="F1224" s="2">
        <v>3.425925925925926E-3</v>
      </c>
      <c r="G1224">
        <v>12.13</v>
      </c>
      <c r="H1224">
        <v>13.98</v>
      </c>
      <c r="I1224">
        <v>154</v>
      </c>
      <c r="J1224">
        <v>144</v>
      </c>
      <c r="K1224">
        <v>712</v>
      </c>
      <c r="L1224" s="2">
        <v>3.2638888888888891E-3</v>
      </c>
      <c r="M1224" s="2">
        <v>1.7094907407407406E-2</v>
      </c>
      <c r="N1224" s="2">
        <v>3.4375000000000003E-2</v>
      </c>
      <c r="O1224" s="2">
        <v>0</v>
      </c>
      <c r="P1224" s="2">
        <v>0</v>
      </c>
    </row>
    <row r="1225" spans="1:16" x14ac:dyDescent="0.3">
      <c r="A1225" s="1">
        <v>45962.924861111111</v>
      </c>
      <c r="B1225" s="1">
        <v>45962.971203703702</v>
      </c>
      <c r="C1225">
        <v>64.22</v>
      </c>
      <c r="D1225" s="2">
        <v>4.4583333333333336E-2</v>
      </c>
      <c r="E1225">
        <v>12.247999999999999</v>
      </c>
      <c r="F1225" s="2">
        <v>3.6342592592592594E-3</v>
      </c>
      <c r="G1225">
        <v>11.44</v>
      </c>
      <c r="H1225">
        <v>13.13</v>
      </c>
      <c r="I1225">
        <v>150</v>
      </c>
      <c r="J1225">
        <v>131</v>
      </c>
      <c r="K1225">
        <v>827</v>
      </c>
      <c r="L1225" s="2">
        <v>3.4027777777777776E-3</v>
      </c>
      <c r="M1225" s="2">
        <v>1.7812499999999998E-2</v>
      </c>
      <c r="N1225" s="2">
        <v>3.619212962962963E-2</v>
      </c>
      <c r="O1225" s="2">
        <v>0</v>
      </c>
      <c r="P1225" s="2">
        <v>0</v>
      </c>
    </row>
    <row r="1226" spans="1:16" x14ac:dyDescent="0.3">
      <c r="A1226" s="1">
        <v>45963.86928240741</v>
      </c>
      <c r="B1226" s="1">
        <v>45963.920057870368</v>
      </c>
      <c r="C1226">
        <v>71.63</v>
      </c>
      <c r="D1226" s="2">
        <v>4.9733796296296297E-2</v>
      </c>
      <c r="E1226">
        <v>15.497999999999999</v>
      </c>
      <c r="F1226" s="2">
        <v>3.2060185185185186E-3</v>
      </c>
      <c r="G1226">
        <v>12.98</v>
      </c>
      <c r="H1226">
        <v>15.45</v>
      </c>
      <c r="I1226">
        <v>162</v>
      </c>
      <c r="J1226">
        <v>143</v>
      </c>
      <c r="K1226">
        <v>1015</v>
      </c>
      <c r="L1226" s="2">
        <v>2.8935185185185184E-3</v>
      </c>
      <c r="M1226" s="2">
        <v>1.4652777777777778E-2</v>
      </c>
      <c r="N1226" s="2">
        <v>2.9722222222222223E-2</v>
      </c>
      <c r="O1226" s="2">
        <v>0</v>
      </c>
      <c r="P1226" s="2">
        <v>0</v>
      </c>
    </row>
    <row r="1227" spans="1:16" x14ac:dyDescent="0.3">
      <c r="A1227" s="1">
        <v>45965.941412037035</v>
      </c>
      <c r="B1227" s="1">
        <v>45965.989942129629</v>
      </c>
      <c r="C1227">
        <v>69.88</v>
      </c>
      <c r="D1227" s="2">
        <v>4.853009259259259E-2</v>
      </c>
      <c r="E1227">
        <v>15.249000000000001</v>
      </c>
      <c r="F1227" s="2">
        <v>3.1712962962962962E-3</v>
      </c>
      <c r="G1227">
        <v>13.09</v>
      </c>
      <c r="H1227">
        <v>19.89</v>
      </c>
      <c r="I1227">
        <v>166</v>
      </c>
      <c r="J1227">
        <v>145</v>
      </c>
      <c r="K1227">
        <v>1015</v>
      </c>
      <c r="L1227" s="2">
        <v>2.650462962962963E-3</v>
      </c>
      <c r="M1227" s="2">
        <v>1.4537037037037038E-2</v>
      </c>
      <c r="N1227" s="2">
        <v>3.0428240740740742E-2</v>
      </c>
      <c r="O1227" s="2">
        <v>0</v>
      </c>
      <c r="P1227" s="2">
        <v>0</v>
      </c>
    </row>
    <row r="1228" spans="1:16" x14ac:dyDescent="0.3">
      <c r="A1228" s="1">
        <v>45966.856157407405</v>
      </c>
      <c r="B1228" s="1">
        <v>45966.895266203705</v>
      </c>
      <c r="C1228">
        <v>55.07</v>
      </c>
      <c r="D1228" s="2">
        <v>3.8240740740740742E-2</v>
      </c>
      <c r="E1228">
        <v>10.25</v>
      </c>
      <c r="F1228" s="2">
        <v>3.7268518518518519E-3</v>
      </c>
      <c r="G1228">
        <v>11.17</v>
      </c>
      <c r="H1228">
        <v>16.329999999999998</v>
      </c>
      <c r="I1228">
        <v>144</v>
      </c>
      <c r="J1228">
        <v>129</v>
      </c>
      <c r="K1228">
        <v>692</v>
      </c>
      <c r="L1228" s="2">
        <v>3.460648148148148E-3</v>
      </c>
      <c r="M1228" s="2">
        <v>1.7835648148148149E-2</v>
      </c>
      <c r="N1228" s="2">
        <v>3.7245370370370373E-2</v>
      </c>
      <c r="O1228" s="2">
        <v>0</v>
      </c>
      <c r="P1228" s="2">
        <v>0</v>
      </c>
    </row>
    <row r="1229" spans="1:16" x14ac:dyDescent="0.3">
      <c r="A1229" s="1">
        <v>45968.357453703706</v>
      </c>
      <c r="B1229" s="1">
        <v>45968.383981481478</v>
      </c>
      <c r="C1229">
        <v>38.200000000000003</v>
      </c>
      <c r="D1229" s="2">
        <v>2.6527777777777779E-2</v>
      </c>
      <c r="E1229">
        <v>10.082000000000001</v>
      </c>
      <c r="F1229" s="2">
        <v>2.627314814814815E-3</v>
      </c>
      <c r="G1229">
        <v>15.84</v>
      </c>
      <c r="H1229">
        <v>27.59</v>
      </c>
      <c r="I1229">
        <v>181</v>
      </c>
      <c r="J1229">
        <v>172</v>
      </c>
      <c r="K1229">
        <v>0</v>
      </c>
      <c r="L1229" s="2">
        <v>2.3958333333333331E-3</v>
      </c>
      <c r="M1229" s="2">
        <v>1.2673611111111111E-2</v>
      </c>
      <c r="N1229" s="2">
        <v>2.6319444444444444E-2</v>
      </c>
      <c r="O1229" s="2">
        <v>0</v>
      </c>
      <c r="P1229" s="2">
        <v>0</v>
      </c>
    </row>
    <row r="1230" spans="1:16" x14ac:dyDescent="0.3">
      <c r="A1230" s="1">
        <v>45968.425127314818</v>
      </c>
      <c r="B1230" s="1">
        <v>45968.433263888888</v>
      </c>
      <c r="C1230">
        <v>11.72</v>
      </c>
      <c r="D1230" s="2">
        <v>8.1365740740740738E-3</v>
      </c>
      <c r="E1230">
        <v>2.0019999999999998</v>
      </c>
      <c r="F1230" s="2">
        <v>4.0625000000000001E-3</v>
      </c>
      <c r="G1230">
        <v>10.25</v>
      </c>
      <c r="H1230">
        <v>13.26</v>
      </c>
      <c r="I1230">
        <v>142</v>
      </c>
      <c r="J1230">
        <v>132</v>
      </c>
      <c r="K1230">
        <v>0</v>
      </c>
      <c r="L1230" s="2">
        <v>3.9699074074074072E-3</v>
      </c>
      <c r="M1230" s="2">
        <v>0</v>
      </c>
      <c r="N1230" s="2">
        <v>0</v>
      </c>
      <c r="O1230" s="2">
        <v>0</v>
      </c>
      <c r="P1230" s="2">
        <v>0</v>
      </c>
    </row>
    <row r="1231" spans="1:16" x14ac:dyDescent="0.3">
      <c r="A1231" s="1">
        <v>45969.966481481482</v>
      </c>
      <c r="B1231" s="1">
        <v>45970.007650462961</v>
      </c>
      <c r="C1231">
        <v>59.29</v>
      </c>
      <c r="D1231" s="2">
        <v>4.116898148148148E-2</v>
      </c>
      <c r="E1231">
        <v>11.747</v>
      </c>
      <c r="F1231" s="2">
        <v>3.4953703703703705E-3</v>
      </c>
      <c r="G1231">
        <v>11.89</v>
      </c>
      <c r="H1231">
        <v>14.61</v>
      </c>
      <c r="I1231">
        <v>159</v>
      </c>
      <c r="J1231">
        <v>138</v>
      </c>
      <c r="K1231">
        <v>803</v>
      </c>
      <c r="L1231" s="2">
        <v>3.2754629629629631E-3</v>
      </c>
      <c r="M1231" s="2">
        <v>1.6921296296296295E-2</v>
      </c>
      <c r="N1231" s="2">
        <v>3.4780092592592592E-2</v>
      </c>
      <c r="O1231" s="2">
        <v>0</v>
      </c>
      <c r="P1231" s="2">
        <v>0</v>
      </c>
    </row>
    <row r="1232" spans="1:16" x14ac:dyDescent="0.3">
      <c r="A1232" s="1">
        <v>45970.908148148148</v>
      </c>
      <c r="B1232" s="1">
        <v>45970.957268518519</v>
      </c>
      <c r="C1232">
        <v>70.739999999999995</v>
      </c>
      <c r="D1232" s="2">
        <v>4.912037037037037E-2</v>
      </c>
      <c r="E1232">
        <v>15.252000000000001</v>
      </c>
      <c r="F1232" s="2">
        <v>3.2175925925925926E-3</v>
      </c>
      <c r="G1232">
        <v>12.94</v>
      </c>
      <c r="H1232">
        <v>17.57</v>
      </c>
      <c r="I1232">
        <v>164</v>
      </c>
      <c r="J1232">
        <v>143</v>
      </c>
      <c r="K1232">
        <v>1010</v>
      </c>
      <c r="L1232" s="2">
        <v>2.8703703703703703E-3</v>
      </c>
      <c r="M1232" s="2">
        <v>1.5057870370370371E-2</v>
      </c>
      <c r="N1232" s="2">
        <v>3.0706018518518518E-2</v>
      </c>
      <c r="O1232" s="2">
        <v>0</v>
      </c>
      <c r="P1232" s="2">
        <v>0</v>
      </c>
    </row>
    <row r="1233" spans="1:16" x14ac:dyDescent="0.3">
      <c r="A1233" s="1">
        <v>45971.894791666666</v>
      </c>
      <c r="B1233" s="1">
        <v>45971.932488425926</v>
      </c>
      <c r="C1233">
        <v>54.29</v>
      </c>
      <c r="D1233" s="2">
        <v>3.7696759259259256E-2</v>
      </c>
      <c r="E1233">
        <v>10.005000000000001</v>
      </c>
      <c r="F1233" s="2">
        <v>3.7615740740740739E-3</v>
      </c>
      <c r="G1233">
        <v>11.06</v>
      </c>
      <c r="H1233">
        <v>14.71</v>
      </c>
      <c r="I1233">
        <v>146</v>
      </c>
      <c r="J1233">
        <v>128</v>
      </c>
      <c r="K1233">
        <v>695</v>
      </c>
      <c r="L1233" s="2">
        <v>3.6574074074074074E-3</v>
      </c>
      <c r="M1233" s="2">
        <v>1.861111111111111E-2</v>
      </c>
      <c r="N1233" s="2">
        <v>3.7685185185185183E-2</v>
      </c>
      <c r="O1233" s="2">
        <v>0</v>
      </c>
      <c r="P1233" s="2">
        <v>0</v>
      </c>
    </row>
    <row r="1234" spans="1:16" x14ac:dyDescent="0.3">
      <c r="A1234" s="1">
        <v>45973.888067129628</v>
      </c>
      <c r="B1234" s="1">
        <v>45973.959918981483</v>
      </c>
      <c r="C1234">
        <v>103.47</v>
      </c>
      <c r="D1234" s="2">
        <v>7.1851851851851847E-2</v>
      </c>
      <c r="E1234">
        <v>22.213000000000001</v>
      </c>
      <c r="F1234" s="2">
        <v>3.2291666666666666E-3</v>
      </c>
      <c r="G1234">
        <v>12.9</v>
      </c>
      <c r="H1234">
        <v>26.31</v>
      </c>
      <c r="I1234">
        <v>171</v>
      </c>
      <c r="J1234">
        <v>145</v>
      </c>
      <c r="K1234">
        <v>1325</v>
      </c>
      <c r="L1234" s="2">
        <v>2.5810185185185185E-3</v>
      </c>
      <c r="M1234" s="2">
        <v>1.4016203703703704E-2</v>
      </c>
      <c r="N1234" s="2">
        <v>2.883101851851852E-2</v>
      </c>
      <c r="O1234" s="2">
        <v>6.7638888888888887E-2</v>
      </c>
      <c r="P1234" s="2">
        <v>0</v>
      </c>
    </row>
    <row r="1235" spans="1:16" x14ac:dyDescent="0.3">
      <c r="A1235" s="1">
        <v>45974.921215277776</v>
      </c>
      <c r="B1235" s="1">
        <v>45974.962893518517</v>
      </c>
      <c r="C1235">
        <v>60.02</v>
      </c>
      <c r="D1235" s="2">
        <v>4.1678240740740738E-2</v>
      </c>
      <c r="E1235">
        <v>11.522</v>
      </c>
      <c r="F1235" s="2">
        <v>3.6111111111111109E-3</v>
      </c>
      <c r="G1235">
        <v>11.52</v>
      </c>
      <c r="H1235">
        <v>13.64</v>
      </c>
      <c r="I1235">
        <v>142</v>
      </c>
      <c r="J1235">
        <v>130</v>
      </c>
      <c r="K1235">
        <v>771</v>
      </c>
      <c r="L1235" s="2">
        <v>3.3912037037037036E-3</v>
      </c>
      <c r="M1235" s="2">
        <v>1.7719907407407406E-2</v>
      </c>
      <c r="N1235" s="2">
        <v>3.6099537037037034E-2</v>
      </c>
      <c r="O1235" s="2">
        <v>0</v>
      </c>
      <c r="P1235" s="2">
        <v>0</v>
      </c>
    </row>
    <row r="1236" spans="1:16" x14ac:dyDescent="0.3">
      <c r="A1236" s="1">
        <v>45977.504710648151</v>
      </c>
      <c r="B1236" s="1">
        <v>45977.557754629626</v>
      </c>
      <c r="C1236">
        <v>74.739999999999995</v>
      </c>
      <c r="D1236" s="2">
        <v>5.1898148148148152E-2</v>
      </c>
      <c r="E1236">
        <v>16.251999999999999</v>
      </c>
      <c r="F1236" s="2">
        <v>3.1828703703703702E-3</v>
      </c>
      <c r="G1236">
        <v>13.05</v>
      </c>
      <c r="H1236">
        <v>16.73</v>
      </c>
      <c r="I1236">
        <v>172</v>
      </c>
      <c r="J1236">
        <v>155</v>
      </c>
      <c r="K1236">
        <v>1135</v>
      </c>
      <c r="L1236" s="2">
        <v>2.8703703703703703E-3</v>
      </c>
      <c r="M1236" s="2">
        <v>1.4733796296296297E-2</v>
      </c>
      <c r="N1236" s="2">
        <v>3.0532407407407407E-2</v>
      </c>
      <c r="O1236" s="2">
        <v>0</v>
      </c>
      <c r="P1236" s="2">
        <v>0</v>
      </c>
    </row>
    <row r="1237" spans="1:16" x14ac:dyDescent="0.3">
      <c r="A1237" s="1">
        <v>45978.919895833336</v>
      </c>
      <c r="B1237" s="1">
        <v>45978.971608796295</v>
      </c>
      <c r="C1237">
        <v>66.36</v>
      </c>
      <c r="D1237" s="2">
        <v>4.6076388888888889E-2</v>
      </c>
      <c r="E1237">
        <v>13.007</v>
      </c>
      <c r="F1237" s="2">
        <v>3.5416666666666665E-3</v>
      </c>
      <c r="G1237">
        <v>11.76</v>
      </c>
      <c r="H1237">
        <v>14.88</v>
      </c>
      <c r="I1237">
        <v>151</v>
      </c>
      <c r="J1237">
        <v>134</v>
      </c>
      <c r="K1237">
        <v>890</v>
      </c>
      <c r="L1237" s="2">
        <v>3.2060185185185186E-3</v>
      </c>
      <c r="M1237" s="2">
        <v>1.7037037037037038E-2</v>
      </c>
      <c r="N1237" s="2">
        <v>3.5011574074074077E-2</v>
      </c>
      <c r="O1237" s="2">
        <v>0</v>
      </c>
      <c r="P1237" s="2">
        <v>0</v>
      </c>
    </row>
    <row r="1238" spans="1:16" x14ac:dyDescent="0.3">
      <c r="A1238" s="1">
        <v>45979.928414351853</v>
      </c>
      <c r="B1238" s="1">
        <v>45979.968576388892</v>
      </c>
      <c r="C1238">
        <v>57.85</v>
      </c>
      <c r="D1238" s="2">
        <v>4.0162037037037038E-2</v>
      </c>
      <c r="E1238">
        <v>11.250999999999999</v>
      </c>
      <c r="F1238" s="2">
        <v>3.5648148148148149E-3</v>
      </c>
      <c r="G1238">
        <v>11.67</v>
      </c>
      <c r="H1238">
        <v>14.58</v>
      </c>
      <c r="I1238">
        <v>147</v>
      </c>
      <c r="J1238">
        <v>135</v>
      </c>
      <c r="K1238">
        <v>769</v>
      </c>
      <c r="L1238" s="2">
        <v>3.425925925925926E-3</v>
      </c>
      <c r="M1238" s="2">
        <v>1.7627314814814814E-2</v>
      </c>
      <c r="N1238" s="2">
        <v>3.5694444444444445E-2</v>
      </c>
      <c r="O1238" s="2">
        <v>0</v>
      </c>
      <c r="P1238" s="2">
        <v>0</v>
      </c>
    </row>
    <row r="1239" spans="1:16" x14ac:dyDescent="0.3">
      <c r="A1239" s="1">
        <v>45981.855069444442</v>
      </c>
      <c r="B1239" s="1">
        <v>45981.863194444442</v>
      </c>
      <c r="C1239">
        <v>11.69</v>
      </c>
      <c r="D1239" s="2">
        <v>8.1134259259259267E-3</v>
      </c>
      <c r="E1239">
        <v>2.0489999999999999</v>
      </c>
      <c r="F1239" s="2">
        <v>3.9583333333333337E-3</v>
      </c>
      <c r="G1239">
        <v>10.52</v>
      </c>
      <c r="H1239">
        <v>11.79</v>
      </c>
      <c r="I1239">
        <v>163</v>
      </c>
      <c r="J1239">
        <v>142</v>
      </c>
      <c r="K1239">
        <v>155</v>
      </c>
      <c r="L1239" s="2">
        <v>3.8888888888888888E-3</v>
      </c>
      <c r="M1239" s="2">
        <v>0</v>
      </c>
      <c r="N1239" s="2">
        <v>0</v>
      </c>
      <c r="O1239" s="2">
        <v>0</v>
      </c>
      <c r="P1239" s="2">
        <v>0</v>
      </c>
    </row>
    <row r="1240" spans="1:16" x14ac:dyDescent="0.3">
      <c r="A1240" s="1">
        <v>45981.875289351854</v>
      </c>
      <c r="B1240" s="1">
        <v>45981.901504629626</v>
      </c>
      <c r="C1240">
        <v>37.76</v>
      </c>
      <c r="D1240" s="2">
        <v>2.6215277777777778E-2</v>
      </c>
      <c r="E1240">
        <v>10.013999999999999</v>
      </c>
      <c r="F1240" s="2">
        <v>2.6157407407407405E-3</v>
      </c>
      <c r="G1240">
        <v>15.91</v>
      </c>
      <c r="H1240">
        <v>20.12</v>
      </c>
      <c r="I1240">
        <v>179</v>
      </c>
      <c r="J1240">
        <v>165</v>
      </c>
      <c r="K1240">
        <v>637</v>
      </c>
      <c r="L1240" s="2">
        <v>2.3379629629629631E-3</v>
      </c>
      <c r="M1240" s="2">
        <v>1.2766203703703703E-2</v>
      </c>
      <c r="N1240" s="2">
        <v>2.6180555555555554E-2</v>
      </c>
      <c r="O1240" s="2">
        <v>0</v>
      </c>
      <c r="P1240" s="2">
        <v>0</v>
      </c>
    </row>
    <row r="1241" spans="1:16" x14ac:dyDescent="0.3">
      <c r="A1241" s="1">
        <v>45982.25984953704</v>
      </c>
      <c r="B1241" s="1">
        <v>45982.27270833333</v>
      </c>
      <c r="C1241">
        <v>18.53</v>
      </c>
      <c r="D1241" s="2">
        <v>1.2858796296296297E-2</v>
      </c>
      <c r="E1241">
        <v>5.1379999999999999</v>
      </c>
      <c r="F1241" s="2">
        <v>2.5000000000000001E-3</v>
      </c>
      <c r="G1241">
        <v>16.63</v>
      </c>
      <c r="H1241">
        <v>18.579999999999998</v>
      </c>
      <c r="I1241">
        <v>183</v>
      </c>
      <c r="J1241">
        <v>167</v>
      </c>
      <c r="K1241">
        <v>309</v>
      </c>
      <c r="L1241" s="2">
        <v>2.4421296296296296E-3</v>
      </c>
      <c r="M1241" s="2">
        <v>1.2523148148148148E-2</v>
      </c>
      <c r="N1241" s="2">
        <v>0</v>
      </c>
      <c r="O1241" s="2">
        <v>0</v>
      </c>
      <c r="P1241" s="2">
        <v>0</v>
      </c>
    </row>
    <row r="1242" spans="1:16" x14ac:dyDescent="0.3">
      <c r="A1242" s="1">
        <v>45983.952037037037</v>
      </c>
      <c r="B1242" s="1">
        <v>45983.999120370368</v>
      </c>
      <c r="C1242">
        <v>67.819999999999993</v>
      </c>
      <c r="D1242" s="2">
        <v>4.7083333333333331E-2</v>
      </c>
      <c r="E1242">
        <v>13.257</v>
      </c>
      <c r="F1242" s="2">
        <v>3.5416666666666665E-3</v>
      </c>
      <c r="G1242">
        <v>11.73</v>
      </c>
      <c r="H1242">
        <v>15.28</v>
      </c>
      <c r="I1242">
        <v>157</v>
      </c>
      <c r="J1242">
        <v>140</v>
      </c>
      <c r="K1242">
        <v>922</v>
      </c>
      <c r="L1242" s="2">
        <v>3.3101851851851851E-3</v>
      </c>
      <c r="M1242" s="2">
        <v>1.7314814814814814E-2</v>
      </c>
      <c r="N1242" s="2">
        <v>3.515046296296296E-2</v>
      </c>
      <c r="O1242" s="2">
        <v>0</v>
      </c>
      <c r="P1242" s="2">
        <v>0</v>
      </c>
    </row>
    <row r="1243" spans="1:16" x14ac:dyDescent="0.3">
      <c r="A1243" s="1">
        <v>45985.917893518519</v>
      </c>
      <c r="B1243" s="1">
        <v>45985.967083333337</v>
      </c>
      <c r="C1243">
        <v>70.84</v>
      </c>
      <c r="D1243" s="2">
        <v>4.9189814814814818E-2</v>
      </c>
      <c r="E1243">
        <v>15.252000000000001</v>
      </c>
      <c r="F1243" s="2">
        <v>3.2175925925925926E-3</v>
      </c>
      <c r="G1243">
        <v>12.92</v>
      </c>
      <c r="H1243">
        <v>15.69</v>
      </c>
      <c r="I1243">
        <v>157</v>
      </c>
      <c r="J1243">
        <v>143</v>
      </c>
      <c r="K1243">
        <v>1023</v>
      </c>
      <c r="L1243" s="2">
        <v>3.0092592592592593E-3</v>
      </c>
      <c r="M1243" s="2">
        <v>1.5520833333333333E-2</v>
      </c>
      <c r="N1243" s="2">
        <v>3.152777777777778E-2</v>
      </c>
      <c r="O1243" s="2">
        <v>0</v>
      </c>
      <c r="P1243" s="2">
        <v>0</v>
      </c>
    </row>
    <row r="1244" spans="1:16" x14ac:dyDescent="0.3">
      <c r="A1244" s="1">
        <v>45986.949432870373</v>
      </c>
      <c r="B1244" s="1">
        <v>45986.991041666668</v>
      </c>
      <c r="C1244">
        <v>59.92</v>
      </c>
      <c r="D1244" s="2">
        <v>4.1597222222222223E-2</v>
      </c>
      <c r="E1244">
        <v>12.756</v>
      </c>
      <c r="F1244" s="2">
        <v>3.2523148148148147E-3</v>
      </c>
      <c r="G1244">
        <v>12.77</v>
      </c>
      <c r="H1244">
        <v>15.28</v>
      </c>
      <c r="I1244">
        <v>153</v>
      </c>
      <c r="J1244">
        <v>141</v>
      </c>
      <c r="K1244">
        <v>765</v>
      </c>
      <c r="L1244" s="2">
        <v>2.9513888888888888E-3</v>
      </c>
      <c r="M1244" s="2">
        <v>1.5902777777777776E-2</v>
      </c>
      <c r="N1244" s="2">
        <v>3.2314814814814817E-2</v>
      </c>
      <c r="O1244" s="2">
        <v>0</v>
      </c>
      <c r="P1244" s="2">
        <v>0</v>
      </c>
    </row>
    <row r="1245" spans="1:16" x14ac:dyDescent="0.3">
      <c r="A1245" s="1">
        <v>45988.942245370374</v>
      </c>
      <c r="B1245" s="1">
        <v>45988.999745370369</v>
      </c>
      <c r="C1245">
        <v>81.38</v>
      </c>
      <c r="D1245" s="2">
        <v>5.6504629629629627E-2</v>
      </c>
      <c r="E1245">
        <v>16.501000000000001</v>
      </c>
      <c r="F1245" s="2">
        <v>3.414351851851852E-3</v>
      </c>
      <c r="G1245">
        <v>12.17</v>
      </c>
      <c r="H1245">
        <v>17.23</v>
      </c>
      <c r="I1245">
        <v>153</v>
      </c>
      <c r="J1245">
        <v>136</v>
      </c>
      <c r="K1245">
        <v>1117</v>
      </c>
      <c r="L1245" s="2">
        <v>3.0555555555555557E-3</v>
      </c>
      <c r="M1245" s="2">
        <v>1.6331018518518519E-2</v>
      </c>
      <c r="N1245" s="2">
        <v>3.3553240740740738E-2</v>
      </c>
      <c r="O1245" s="2">
        <v>0</v>
      </c>
      <c r="P1245" s="2">
        <v>0</v>
      </c>
    </row>
    <row r="1246" spans="1:16" x14ac:dyDescent="0.3">
      <c r="A1246" s="1">
        <v>45989.647314814814</v>
      </c>
      <c r="B1246" s="1">
        <v>45989.66982638889</v>
      </c>
      <c r="C1246">
        <v>32.43</v>
      </c>
      <c r="D1246" s="2">
        <v>2.2511574074074073E-2</v>
      </c>
      <c r="E1246">
        <v>7.7009999999999996</v>
      </c>
      <c r="F1246" s="2">
        <v>2.9166666666666668E-3</v>
      </c>
      <c r="G1246">
        <v>14.25</v>
      </c>
      <c r="H1246">
        <v>15.72</v>
      </c>
      <c r="I1246">
        <v>166</v>
      </c>
      <c r="J1246">
        <v>158</v>
      </c>
      <c r="K1246">
        <v>516</v>
      </c>
      <c r="L1246" s="2">
        <v>2.7893518518518519E-3</v>
      </c>
      <c r="M1246" s="2">
        <v>1.4479166666666666E-2</v>
      </c>
      <c r="N1246" s="2">
        <v>0</v>
      </c>
      <c r="O1246" s="2">
        <v>0</v>
      </c>
      <c r="P1246" s="2">
        <v>0</v>
      </c>
    </row>
    <row r="1247" spans="1:16" x14ac:dyDescent="0.3">
      <c r="A1247" s="1">
        <v>45990.900509259256</v>
      </c>
      <c r="B1247" s="1">
        <v>45990.944930555554</v>
      </c>
      <c r="C1247">
        <v>63.95</v>
      </c>
      <c r="D1247" s="2">
        <v>4.4398148148148145E-2</v>
      </c>
      <c r="E1247">
        <v>13.249000000000001</v>
      </c>
      <c r="F1247" s="2">
        <v>3.3449074074074076E-3</v>
      </c>
      <c r="G1247">
        <v>12.43</v>
      </c>
      <c r="H1247">
        <v>14.24</v>
      </c>
      <c r="I1247">
        <v>162</v>
      </c>
      <c r="J1247">
        <v>140</v>
      </c>
      <c r="K1247">
        <v>894</v>
      </c>
      <c r="L1247" s="2">
        <v>3.1712962962962962E-3</v>
      </c>
      <c r="M1247" s="2">
        <v>1.638888888888889E-2</v>
      </c>
      <c r="N1247" s="2">
        <v>3.3148148148148149E-2</v>
      </c>
      <c r="O1247" s="2">
        <v>0</v>
      </c>
      <c r="P1247" s="2">
        <v>0</v>
      </c>
    </row>
    <row r="1248" spans="1:16" x14ac:dyDescent="0.3">
      <c r="A1248" s="1">
        <v>45991.857847222222</v>
      </c>
      <c r="B1248" s="1">
        <v>45991.901678240742</v>
      </c>
      <c r="C1248">
        <v>63.12</v>
      </c>
      <c r="D1248" s="2">
        <v>4.3831018518518519E-2</v>
      </c>
      <c r="E1248">
        <v>12.5</v>
      </c>
      <c r="F1248" s="2">
        <v>3.4953703703703705E-3</v>
      </c>
      <c r="G1248">
        <v>11.88</v>
      </c>
      <c r="H1248">
        <v>13.84</v>
      </c>
      <c r="I1248">
        <v>157</v>
      </c>
      <c r="J1248">
        <v>136</v>
      </c>
      <c r="K1248">
        <v>853</v>
      </c>
      <c r="L1248" s="2">
        <v>3.2407407407407406E-3</v>
      </c>
      <c r="M1248" s="2">
        <v>1.6909722222222222E-2</v>
      </c>
      <c r="N1248" s="2">
        <v>3.4872685185185187E-2</v>
      </c>
      <c r="O1248" s="2">
        <v>0</v>
      </c>
      <c r="P1248" s="2">
        <v>0</v>
      </c>
    </row>
    <row r="1249" spans="1:16" x14ac:dyDescent="0.3">
      <c r="A1249" s="1">
        <v>45992.920543981483</v>
      </c>
      <c r="B1249" s="1">
        <v>45992.97320601852</v>
      </c>
      <c r="C1249">
        <v>74.349999999999994</v>
      </c>
      <c r="D1249" s="2">
        <v>5.1620370370370372E-2</v>
      </c>
      <c r="E1249">
        <v>16.305</v>
      </c>
      <c r="F1249" s="2">
        <v>3.1597222222222222E-3</v>
      </c>
      <c r="G1249">
        <v>13.16</v>
      </c>
      <c r="H1249">
        <v>18.75</v>
      </c>
      <c r="I1249">
        <v>171</v>
      </c>
      <c r="J1249">
        <v>143</v>
      </c>
      <c r="K1249">
        <v>1075</v>
      </c>
      <c r="L1249" s="2">
        <v>2.7083333333333334E-3</v>
      </c>
      <c r="M1249" s="2">
        <v>1.5428240740740741E-2</v>
      </c>
      <c r="N1249" s="2">
        <v>3.1018518518518518E-2</v>
      </c>
      <c r="O1249" s="2">
        <v>0</v>
      </c>
      <c r="P1249" s="2">
        <v>0</v>
      </c>
    </row>
    <row r="1250" spans="1:16" x14ac:dyDescent="0.3">
      <c r="A1250" s="1">
        <v>45994.944374999999</v>
      </c>
      <c r="B1250" s="1">
        <v>45994.993472222224</v>
      </c>
      <c r="C1250">
        <v>70.709999999999994</v>
      </c>
      <c r="D1250" s="2">
        <v>4.9097222222222223E-2</v>
      </c>
      <c r="E1250">
        <v>15.246</v>
      </c>
      <c r="F1250" s="2">
        <v>3.2175925925925926E-3</v>
      </c>
      <c r="G1250">
        <v>12.94</v>
      </c>
      <c r="H1250">
        <v>17.43</v>
      </c>
      <c r="I1250">
        <v>159</v>
      </c>
      <c r="J1250">
        <v>143</v>
      </c>
      <c r="K1250">
        <v>1025</v>
      </c>
      <c r="L1250" s="2">
        <v>2.9861111111111113E-3</v>
      </c>
      <c r="M1250" s="2">
        <v>1.5324074074074073E-2</v>
      </c>
      <c r="N1250" s="2">
        <v>3.1284722222222221E-2</v>
      </c>
      <c r="O1250" s="2">
        <v>0</v>
      </c>
      <c r="P1250" s="2">
        <v>0</v>
      </c>
    </row>
    <row r="1251" spans="1:16" x14ac:dyDescent="0.3">
      <c r="A1251" s="1">
        <v>45996.22965277778</v>
      </c>
      <c r="B1251" s="1">
        <v>45996.241006944445</v>
      </c>
      <c r="C1251">
        <v>16.36</v>
      </c>
      <c r="D1251" s="2">
        <v>1.1354166666666667E-2</v>
      </c>
      <c r="E1251">
        <v>3.0310000000000001</v>
      </c>
      <c r="F1251" s="2">
        <v>3.7384259259259259E-3</v>
      </c>
      <c r="G1251">
        <v>11.12</v>
      </c>
      <c r="H1251">
        <v>17.37</v>
      </c>
      <c r="I1251">
        <v>147</v>
      </c>
      <c r="J1251">
        <v>132</v>
      </c>
      <c r="K1251">
        <v>216</v>
      </c>
      <c r="L1251" s="2">
        <v>3.5879629629629629E-3</v>
      </c>
      <c r="M1251" s="2">
        <v>0</v>
      </c>
      <c r="N1251" s="2">
        <v>0</v>
      </c>
      <c r="O1251" s="2">
        <v>0</v>
      </c>
      <c r="P1251" s="2">
        <v>0</v>
      </c>
    </row>
    <row r="1252" spans="1:16" x14ac:dyDescent="0.3">
      <c r="A1252" s="1">
        <v>45996.257349537038</v>
      </c>
      <c r="B1252" s="1">
        <v>45996.297754629632</v>
      </c>
      <c r="C1252">
        <v>58.2</v>
      </c>
      <c r="D1252" s="2">
        <v>4.040509259259259E-2</v>
      </c>
      <c r="E1252">
        <v>15.281000000000001</v>
      </c>
      <c r="F1252" s="2">
        <v>2.638888888888889E-3</v>
      </c>
      <c r="G1252">
        <v>15.75</v>
      </c>
      <c r="H1252">
        <v>20.29</v>
      </c>
      <c r="I1252">
        <v>187</v>
      </c>
      <c r="J1252">
        <v>173</v>
      </c>
      <c r="K1252">
        <v>1040</v>
      </c>
      <c r="L1252" s="2">
        <v>2.5115740740740741E-3</v>
      </c>
      <c r="M1252" s="2">
        <v>1.3032407407407407E-2</v>
      </c>
      <c r="N1252" s="2">
        <v>2.6261574074074073E-2</v>
      </c>
      <c r="O1252" s="2">
        <v>0</v>
      </c>
      <c r="P1252" s="2">
        <v>0</v>
      </c>
    </row>
    <row r="1253" spans="1:16" x14ac:dyDescent="0.3">
      <c r="A1253" s="1">
        <v>45996.307743055557</v>
      </c>
      <c r="B1253" s="1">
        <v>45996.36078703704</v>
      </c>
      <c r="C1253">
        <v>32.11</v>
      </c>
      <c r="D1253" s="2">
        <v>2.2291666666666668E-2</v>
      </c>
      <c r="E1253">
        <v>6.0570000000000004</v>
      </c>
      <c r="F1253" s="2">
        <v>3.6805555555555554E-3</v>
      </c>
      <c r="G1253">
        <v>11.32</v>
      </c>
      <c r="H1253">
        <v>14.54</v>
      </c>
      <c r="I1253">
        <v>143</v>
      </c>
      <c r="J1253">
        <v>130</v>
      </c>
      <c r="K1253">
        <v>417</v>
      </c>
      <c r="L1253" s="2">
        <v>3.5185185185185185E-3</v>
      </c>
      <c r="M1253" s="2">
        <v>1.8437499999999999E-2</v>
      </c>
      <c r="N1253" s="2">
        <v>0</v>
      </c>
      <c r="O1253" s="2">
        <v>0</v>
      </c>
      <c r="P1253" s="2">
        <v>0</v>
      </c>
    </row>
    <row r="1254" spans="1:16" x14ac:dyDescent="0.3">
      <c r="A1254" s="1">
        <v>45997.940358796295</v>
      </c>
      <c r="B1254" s="1">
        <v>45997.98238425926</v>
      </c>
      <c r="C1254">
        <v>60.53</v>
      </c>
      <c r="D1254" s="2">
        <v>4.2025462962962966E-2</v>
      </c>
      <c r="E1254">
        <v>12.247</v>
      </c>
      <c r="F1254" s="2">
        <v>3.425925925925926E-3</v>
      </c>
      <c r="G1254">
        <v>12.14</v>
      </c>
      <c r="H1254">
        <v>15.15</v>
      </c>
      <c r="I1254">
        <v>153</v>
      </c>
      <c r="J1254">
        <v>137</v>
      </c>
      <c r="K1254">
        <v>826</v>
      </c>
      <c r="L1254" s="2">
        <v>3.0787037037037037E-3</v>
      </c>
      <c r="M1254" s="2">
        <v>1.6643518518518519E-2</v>
      </c>
      <c r="N1254" s="2">
        <v>3.412037037037037E-2</v>
      </c>
      <c r="O1254" s="2">
        <v>0</v>
      </c>
      <c r="P1254" s="2">
        <v>0</v>
      </c>
    </row>
    <row r="1255" spans="1:16" x14ac:dyDescent="0.3">
      <c r="A1255" s="1">
        <v>46000.530277777776</v>
      </c>
      <c r="B1255" s="1">
        <v>46000.579837962963</v>
      </c>
      <c r="C1255">
        <v>69.44</v>
      </c>
      <c r="D1255" s="2">
        <v>4.821759259259259E-2</v>
      </c>
      <c r="E1255">
        <v>15.252000000000001</v>
      </c>
      <c r="F1255" s="2">
        <v>3.1597222222222222E-3</v>
      </c>
      <c r="G1255">
        <v>13.18</v>
      </c>
      <c r="H1255">
        <v>15.15</v>
      </c>
      <c r="I1255">
        <v>170</v>
      </c>
      <c r="J1255">
        <v>156</v>
      </c>
      <c r="K1255">
        <v>1063</v>
      </c>
      <c r="L1255" s="2">
        <v>2.8935185185185184E-3</v>
      </c>
      <c r="M1255" s="2">
        <v>1.5428240740740741E-2</v>
      </c>
      <c r="N1255" s="2">
        <v>3.1180555555555555E-2</v>
      </c>
      <c r="O1255" s="2">
        <v>0</v>
      </c>
      <c r="P1255" s="2">
        <v>0</v>
      </c>
    </row>
    <row r="1256" spans="1:16" x14ac:dyDescent="0.3">
      <c r="A1256" s="1">
        <v>46002.699490740742</v>
      </c>
      <c r="B1256" s="1">
        <v>46002.73946759259</v>
      </c>
      <c r="C1256">
        <v>57.58</v>
      </c>
      <c r="D1256" s="2">
        <v>3.9976851851851854E-2</v>
      </c>
      <c r="E1256">
        <v>12.67</v>
      </c>
      <c r="F1256" s="2">
        <v>3.1944444444444446E-3</v>
      </c>
      <c r="G1256">
        <v>13.03</v>
      </c>
      <c r="H1256">
        <v>15.72</v>
      </c>
      <c r="I1256">
        <v>172</v>
      </c>
      <c r="J1256">
        <v>160</v>
      </c>
      <c r="K1256">
        <v>959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</row>
    <row r="1257" spans="1:16" x14ac:dyDescent="0.3">
      <c r="A1257" s="1">
        <v>46003.597905092596</v>
      </c>
      <c r="B1257" s="1">
        <v>46003.656712962962</v>
      </c>
      <c r="C1257">
        <v>84.69</v>
      </c>
      <c r="D1257" s="2">
        <v>5.8807870370370371E-2</v>
      </c>
      <c r="E1257">
        <v>17.251999999999999</v>
      </c>
      <c r="F1257" s="2">
        <v>3.4027777777777776E-3</v>
      </c>
      <c r="G1257">
        <v>12.22</v>
      </c>
      <c r="H1257">
        <v>17.16</v>
      </c>
      <c r="I1257">
        <v>175</v>
      </c>
      <c r="J1257">
        <v>138</v>
      </c>
      <c r="K1257">
        <v>1169</v>
      </c>
      <c r="L1257" s="2">
        <v>2.5925925925925925E-3</v>
      </c>
      <c r="M1257" s="2">
        <v>1.5243055555555555E-2</v>
      </c>
      <c r="N1257" s="2">
        <v>3.2268518518518516E-2</v>
      </c>
      <c r="O1257" s="2">
        <v>0</v>
      </c>
      <c r="P1257" s="2">
        <v>0</v>
      </c>
    </row>
    <row r="1258" spans="1:16" x14ac:dyDescent="0.3">
      <c r="A1258" s="1">
        <v>46004.936122685183</v>
      </c>
      <c r="B1258" s="1">
        <v>46004.979722222219</v>
      </c>
      <c r="C1258">
        <v>62.79</v>
      </c>
      <c r="D1258" s="2">
        <v>4.3599537037037034E-2</v>
      </c>
      <c r="E1258">
        <v>12.253</v>
      </c>
      <c r="F1258" s="2">
        <v>3.5532407407407409E-3</v>
      </c>
      <c r="G1258">
        <v>11.71</v>
      </c>
      <c r="H1258">
        <v>13.74</v>
      </c>
      <c r="I1258">
        <v>172</v>
      </c>
      <c r="J1258">
        <v>144</v>
      </c>
      <c r="K1258">
        <v>872</v>
      </c>
      <c r="L1258" s="2">
        <v>3.3333333333333335E-3</v>
      </c>
      <c r="M1258" s="2">
        <v>1.7418981481481483E-2</v>
      </c>
      <c r="N1258" s="2">
        <v>3.5231481481481482E-2</v>
      </c>
      <c r="O1258" s="2">
        <v>0</v>
      </c>
      <c r="P1258" s="2">
        <v>0</v>
      </c>
    </row>
    <row r="1259" spans="1:16" x14ac:dyDescent="0.3">
      <c r="A1259" s="1">
        <v>46006.943877314814</v>
      </c>
      <c r="B1259" s="1">
        <v>46006.987581018519</v>
      </c>
      <c r="C1259">
        <v>62.95</v>
      </c>
      <c r="D1259" s="2">
        <v>4.3703703703703703E-2</v>
      </c>
      <c r="E1259">
        <v>12.747999999999999</v>
      </c>
      <c r="F1259" s="2">
        <v>3.425925925925926E-3</v>
      </c>
      <c r="G1259">
        <v>12.15</v>
      </c>
      <c r="H1259">
        <v>13.2</v>
      </c>
      <c r="I1259">
        <v>152</v>
      </c>
      <c r="J1259">
        <v>138</v>
      </c>
      <c r="K1259">
        <v>879</v>
      </c>
      <c r="L1259" s="2">
        <v>3.2870370370370371E-3</v>
      </c>
      <c r="M1259" s="2">
        <v>1.681712962962963E-2</v>
      </c>
      <c r="N1259" s="2">
        <v>3.412037037037037E-2</v>
      </c>
      <c r="O1259" s="2">
        <v>0</v>
      </c>
      <c r="P1259" s="2">
        <v>0</v>
      </c>
    </row>
    <row r="1260" spans="1:16" x14ac:dyDescent="0.3">
      <c r="A1260" s="1">
        <v>46008.892951388887</v>
      </c>
      <c r="B1260" s="1">
        <v>46008.980578703704</v>
      </c>
      <c r="C1260">
        <v>123.19</v>
      </c>
      <c r="D1260" s="2">
        <v>8.5543981481481485E-2</v>
      </c>
      <c r="E1260">
        <v>26.251999999999999</v>
      </c>
      <c r="F1260" s="2">
        <v>3.2523148148148147E-3</v>
      </c>
      <c r="G1260">
        <v>12.79</v>
      </c>
      <c r="H1260">
        <v>16.93</v>
      </c>
      <c r="I1260">
        <v>172</v>
      </c>
      <c r="J1260">
        <v>152</v>
      </c>
      <c r="K1260">
        <v>1827</v>
      </c>
      <c r="L1260" s="2">
        <v>2.8819444444444444E-3</v>
      </c>
      <c r="M1260" s="2">
        <v>1.5127314814814816E-2</v>
      </c>
      <c r="N1260" s="2">
        <v>3.0902777777777779E-2</v>
      </c>
      <c r="O1260" s="2">
        <v>6.7581018518518512E-2</v>
      </c>
      <c r="P1260" s="2">
        <v>0</v>
      </c>
    </row>
    <row r="1261" spans="1:16" x14ac:dyDescent="0.3">
      <c r="A1261" s="1">
        <v>46010.313680555555</v>
      </c>
      <c r="B1261" s="1">
        <v>46010.342418981483</v>
      </c>
      <c r="C1261">
        <v>40.72</v>
      </c>
      <c r="D1261" s="2">
        <v>2.8275462962962964E-2</v>
      </c>
      <c r="E1261">
        <v>10.016</v>
      </c>
      <c r="F1261" s="2">
        <v>2.8124999999999999E-3</v>
      </c>
      <c r="G1261">
        <v>14.76</v>
      </c>
      <c r="H1261">
        <v>18.95</v>
      </c>
      <c r="I1261">
        <v>176</v>
      </c>
      <c r="J1261">
        <v>166</v>
      </c>
      <c r="K1261">
        <v>692</v>
      </c>
      <c r="L1261" s="2">
        <v>2.5810185185185185E-3</v>
      </c>
      <c r="M1261" s="2">
        <v>1.3726851851851851E-2</v>
      </c>
      <c r="N1261" s="2">
        <v>2.824074074074074E-2</v>
      </c>
      <c r="O1261" s="2">
        <v>0</v>
      </c>
      <c r="P1261" s="2">
        <v>0</v>
      </c>
    </row>
    <row r="1262" spans="1:16" x14ac:dyDescent="0.3">
      <c r="A1262" s="1">
        <v>46010.353807870371</v>
      </c>
      <c r="B1262" s="1">
        <v>46010.386469907404</v>
      </c>
      <c r="C1262">
        <v>47.04</v>
      </c>
      <c r="D1262" s="2">
        <v>3.2662037037037038E-2</v>
      </c>
      <c r="E1262">
        <v>8.5020000000000007</v>
      </c>
      <c r="F1262" s="2">
        <v>3.8310185185185183E-3</v>
      </c>
      <c r="G1262">
        <v>10.84</v>
      </c>
      <c r="H1262">
        <v>15.18</v>
      </c>
      <c r="I1262">
        <v>162</v>
      </c>
      <c r="J1262">
        <v>136</v>
      </c>
      <c r="K1262">
        <v>615</v>
      </c>
      <c r="L1262" s="2">
        <v>3.4375E-3</v>
      </c>
      <c r="M1262" s="2">
        <v>1.8703703703703705E-2</v>
      </c>
      <c r="N1262" s="2">
        <v>0</v>
      </c>
      <c r="O1262" s="2">
        <v>0</v>
      </c>
      <c r="P1262" s="2">
        <v>0</v>
      </c>
    </row>
    <row r="1263" spans="1:16" x14ac:dyDescent="0.3">
      <c r="A1263" s="1">
        <v>46012.941712962966</v>
      </c>
      <c r="B1263" s="1">
        <v>46012.999722222223</v>
      </c>
      <c r="C1263">
        <v>72.59</v>
      </c>
      <c r="D1263" s="2">
        <v>5.0405092592592592E-2</v>
      </c>
      <c r="E1263">
        <v>15.257</v>
      </c>
      <c r="F1263" s="2">
        <v>3.2986111111111111E-3</v>
      </c>
      <c r="G1263">
        <v>12.61</v>
      </c>
      <c r="H1263">
        <v>14.61</v>
      </c>
      <c r="I1263">
        <v>171</v>
      </c>
      <c r="J1263">
        <v>146</v>
      </c>
      <c r="K1263">
        <v>1062</v>
      </c>
      <c r="L1263" s="2">
        <v>3.1828703703703702E-3</v>
      </c>
      <c r="M1263" s="2">
        <v>1.6284722222222221E-2</v>
      </c>
      <c r="N1263" s="2">
        <v>3.2708333333333332E-2</v>
      </c>
      <c r="O1263" s="2">
        <v>0</v>
      </c>
      <c r="P1263" s="2">
        <v>0</v>
      </c>
    </row>
    <row r="1264" spans="1:16" x14ac:dyDescent="0.3">
      <c r="A1264" s="1">
        <v>46014.908275462964</v>
      </c>
      <c r="B1264" s="1">
        <v>46014.97452546296</v>
      </c>
      <c r="C1264">
        <v>95.4</v>
      </c>
      <c r="D1264" s="2">
        <v>6.6250000000000003E-2</v>
      </c>
      <c r="E1264">
        <v>21.503</v>
      </c>
      <c r="F1264" s="2">
        <v>3.0787037037037037E-3</v>
      </c>
      <c r="G1264">
        <v>13.52</v>
      </c>
      <c r="H1264">
        <v>15.72</v>
      </c>
      <c r="I1264">
        <v>164</v>
      </c>
      <c r="J1264">
        <v>149</v>
      </c>
      <c r="K1264">
        <v>1437</v>
      </c>
      <c r="L1264" s="2">
        <v>2.8124999999999999E-3</v>
      </c>
      <c r="M1264" s="2">
        <v>1.4444444444444444E-2</v>
      </c>
      <c r="N1264" s="2">
        <v>2.9421296296296296E-2</v>
      </c>
      <c r="O1264" s="2">
        <v>6.4884259259259253E-2</v>
      </c>
      <c r="P1264" s="2">
        <v>0</v>
      </c>
    </row>
    <row r="1265" spans="1:16" x14ac:dyDescent="0.3">
      <c r="A1265" s="1">
        <v>46015.940775462965</v>
      </c>
      <c r="B1265" s="1">
        <v>46015.991851851853</v>
      </c>
      <c r="C1265">
        <v>73.569999999999993</v>
      </c>
      <c r="D1265" s="2">
        <v>5.1076388888888886E-2</v>
      </c>
      <c r="E1265">
        <v>14.250999999999999</v>
      </c>
      <c r="F1265" s="2">
        <v>3.5763888888888889E-3</v>
      </c>
      <c r="G1265">
        <v>11.62</v>
      </c>
      <c r="H1265">
        <v>14.34</v>
      </c>
      <c r="I1265">
        <v>153</v>
      </c>
      <c r="J1265">
        <v>131</v>
      </c>
      <c r="K1265">
        <v>953</v>
      </c>
      <c r="L1265" s="2">
        <v>3.414351851851852E-3</v>
      </c>
      <c r="M1265" s="2">
        <v>1.7766203703703704E-2</v>
      </c>
      <c r="N1265" s="2">
        <v>3.5567129629629629E-2</v>
      </c>
      <c r="O1265" s="2">
        <v>0</v>
      </c>
      <c r="P1265" s="2">
        <v>0</v>
      </c>
    </row>
    <row r="1266" spans="1:16" x14ac:dyDescent="0.3">
      <c r="A1266" s="1">
        <v>46017.461215277777</v>
      </c>
      <c r="B1266" s="1">
        <v>46017.53875</v>
      </c>
      <c r="C1266">
        <v>110.24</v>
      </c>
      <c r="D1266" s="2">
        <v>7.6550925925925925E-2</v>
      </c>
      <c r="E1266">
        <v>22.251000000000001</v>
      </c>
      <c r="F1266" s="2">
        <v>3.4375E-3</v>
      </c>
      <c r="G1266">
        <v>12.11</v>
      </c>
      <c r="H1266">
        <v>15.79</v>
      </c>
      <c r="I1266">
        <v>155</v>
      </c>
      <c r="J1266">
        <v>139</v>
      </c>
      <c r="K1266">
        <v>1529</v>
      </c>
      <c r="L1266" s="2">
        <v>3.0902777777777777E-3</v>
      </c>
      <c r="M1266" s="2">
        <v>1.6423611111111111E-2</v>
      </c>
      <c r="N1266" s="2">
        <v>3.3321759259259259E-2</v>
      </c>
      <c r="O1266" s="2">
        <v>7.2291666666666671E-2</v>
      </c>
      <c r="P1266" s="2">
        <v>0</v>
      </c>
    </row>
    <row r="1267" spans="1:16" x14ac:dyDescent="0.3">
      <c r="A1267" s="1">
        <v>46019.762060185189</v>
      </c>
      <c r="B1267" s="1">
        <v>46019.810069444444</v>
      </c>
      <c r="C1267">
        <v>64.55</v>
      </c>
      <c r="D1267" s="2">
        <v>4.4826388888888888E-2</v>
      </c>
      <c r="E1267">
        <v>12.775</v>
      </c>
      <c r="F1267" s="2">
        <v>3.5069444444444445E-3</v>
      </c>
      <c r="G1267">
        <v>11.87</v>
      </c>
      <c r="H1267">
        <v>14.31</v>
      </c>
      <c r="I1267">
        <v>149</v>
      </c>
      <c r="J1267">
        <v>132</v>
      </c>
      <c r="K1267">
        <v>859</v>
      </c>
      <c r="L1267" s="2">
        <v>3.2060185185185186E-3</v>
      </c>
      <c r="M1267" s="2">
        <v>1.7418981481481483E-2</v>
      </c>
      <c r="N1267" s="2">
        <v>3.4976851851851849E-2</v>
      </c>
      <c r="O1267" s="2">
        <v>0</v>
      </c>
      <c r="P1267" s="2">
        <v>0</v>
      </c>
    </row>
    <row r="1268" spans="1:16" x14ac:dyDescent="0.3">
      <c r="A1268" s="1">
        <v>46020.884120370371</v>
      </c>
      <c r="B1268" s="1">
        <v>46020.932569444441</v>
      </c>
      <c r="C1268">
        <v>69.77</v>
      </c>
      <c r="D1268" s="2">
        <v>4.8449074074074075E-2</v>
      </c>
      <c r="E1268">
        <v>15.25</v>
      </c>
      <c r="F1268" s="2">
        <v>3.1712962962962962E-3</v>
      </c>
      <c r="G1268">
        <v>13.12</v>
      </c>
      <c r="H1268">
        <v>16.53</v>
      </c>
      <c r="I1268">
        <v>162</v>
      </c>
      <c r="J1268">
        <v>143</v>
      </c>
      <c r="K1268">
        <v>1023</v>
      </c>
      <c r="L1268" s="2">
        <v>2.8935185185185184E-3</v>
      </c>
      <c r="M1268" s="2">
        <v>1.5462962962962963E-2</v>
      </c>
      <c r="N1268" s="2">
        <v>3.1215277777777779E-2</v>
      </c>
      <c r="O1268" s="2">
        <v>0</v>
      </c>
      <c r="P1268" s="2">
        <v>0</v>
      </c>
    </row>
    <row r="1269" spans="1:16" x14ac:dyDescent="0.3">
      <c r="A1269" s="1">
        <v>46022.906655092593</v>
      </c>
      <c r="B1269" s="1">
        <v>46022.979780092595</v>
      </c>
      <c r="C1269">
        <v>105.31</v>
      </c>
      <c r="D1269" s="2">
        <v>7.3124999999999996E-2</v>
      </c>
      <c r="E1269">
        <v>21.248000000000001</v>
      </c>
      <c r="F1269" s="2">
        <v>3.4375E-3</v>
      </c>
      <c r="G1269">
        <v>12.11</v>
      </c>
      <c r="H1269">
        <v>15.28</v>
      </c>
      <c r="I1269">
        <v>157</v>
      </c>
      <c r="J1269">
        <v>138</v>
      </c>
      <c r="K1269">
        <v>1452</v>
      </c>
      <c r="L1269" s="2">
        <v>2.9976851851851853E-3</v>
      </c>
      <c r="M1269" s="2">
        <v>1.6550925925925927E-2</v>
      </c>
      <c r="N1269" s="2">
        <v>3.3449074074074076E-2</v>
      </c>
      <c r="O1269" s="2">
        <v>7.2627314814814811E-2</v>
      </c>
      <c r="P1269" s="2">
        <v>0</v>
      </c>
    </row>
    <row r="1270" spans="1:16" x14ac:dyDescent="0.3">
      <c r="A1270" s="1">
        <v>46024.256342592591</v>
      </c>
      <c r="B1270" s="1">
        <v>46024.355879629627</v>
      </c>
      <c r="C1270">
        <v>136.94</v>
      </c>
      <c r="D1270" s="2">
        <v>9.509259259259259E-2</v>
      </c>
      <c r="E1270">
        <v>28.251000000000001</v>
      </c>
      <c r="F1270" s="2">
        <v>3.3564814814814816E-3</v>
      </c>
      <c r="G1270">
        <v>12.38</v>
      </c>
      <c r="H1270">
        <v>16.89</v>
      </c>
      <c r="I1270">
        <v>169</v>
      </c>
      <c r="J1270">
        <v>148</v>
      </c>
      <c r="K1270">
        <v>2012</v>
      </c>
      <c r="L1270" s="2">
        <v>3.1481481481481482E-3</v>
      </c>
      <c r="M1270" s="2">
        <v>1.6168981481481482E-2</v>
      </c>
      <c r="N1270" s="2">
        <v>3.2835648148148149E-2</v>
      </c>
      <c r="O1270" s="2">
        <v>7.0115740740740742E-2</v>
      </c>
      <c r="P1270" s="2">
        <v>0</v>
      </c>
    </row>
    <row r="1271" spans="1:16" x14ac:dyDescent="0.3">
      <c r="A1271" s="1">
        <v>46026.950543981482</v>
      </c>
      <c r="B1271" s="1">
        <v>46026.997789351852</v>
      </c>
      <c r="C1271">
        <v>68.03</v>
      </c>
      <c r="D1271" s="2">
        <v>4.7245370370370368E-2</v>
      </c>
      <c r="E1271">
        <v>15.505000000000001</v>
      </c>
      <c r="F1271" s="2">
        <v>3.0439814814814813E-3</v>
      </c>
      <c r="G1271">
        <v>13.67</v>
      </c>
      <c r="H1271">
        <v>15.89</v>
      </c>
      <c r="I1271">
        <v>160</v>
      </c>
      <c r="J1271">
        <v>148</v>
      </c>
      <c r="K1271">
        <v>1030</v>
      </c>
      <c r="L1271" s="2">
        <v>2.9050925925925928E-3</v>
      </c>
      <c r="M1271" s="2">
        <v>1.4918981481481481E-2</v>
      </c>
      <c r="N1271" s="2">
        <v>3.0034722222222223E-2</v>
      </c>
      <c r="O1271" s="2">
        <v>0</v>
      </c>
      <c r="P1271" s="2">
        <v>0</v>
      </c>
    </row>
    <row r="1272" spans="1:16" x14ac:dyDescent="0.3">
      <c r="A1272" s="1">
        <v>46027.941134259258</v>
      </c>
      <c r="B1272" s="1">
        <v>46027.991180555553</v>
      </c>
      <c r="C1272">
        <v>72.08</v>
      </c>
      <c r="D1272" s="2">
        <v>5.0046296296296297E-2</v>
      </c>
      <c r="E1272">
        <v>14.253</v>
      </c>
      <c r="F1272" s="2">
        <v>3.5069444444444445E-3</v>
      </c>
      <c r="G1272">
        <v>11.86</v>
      </c>
      <c r="H1272">
        <v>16.86</v>
      </c>
      <c r="I1272">
        <v>167</v>
      </c>
      <c r="J1272">
        <v>142</v>
      </c>
      <c r="K1272">
        <v>1022</v>
      </c>
      <c r="L1272" s="2">
        <v>3.1365740740740742E-3</v>
      </c>
      <c r="M1272" s="2">
        <v>1.7037037037037038E-2</v>
      </c>
      <c r="N1272" s="2">
        <v>3.484953703703704E-2</v>
      </c>
      <c r="O1272" s="2">
        <v>0</v>
      </c>
      <c r="P1272" s="2">
        <v>0</v>
      </c>
    </row>
    <row r="1273" spans="1:16" x14ac:dyDescent="0.3">
      <c r="A1273" s="1">
        <v>46029.9534375</v>
      </c>
      <c r="B1273" s="1">
        <v>46029.995694444442</v>
      </c>
      <c r="C1273">
        <v>60.85</v>
      </c>
      <c r="D1273" s="2">
        <v>4.2256944444444444E-2</v>
      </c>
      <c r="E1273">
        <v>12.252000000000001</v>
      </c>
      <c r="F1273" s="2">
        <v>3.4375E-3</v>
      </c>
      <c r="G1273">
        <v>12.08</v>
      </c>
      <c r="H1273">
        <v>15.92</v>
      </c>
      <c r="I1273">
        <v>158</v>
      </c>
      <c r="J1273">
        <v>139</v>
      </c>
      <c r="K1273">
        <v>852</v>
      </c>
      <c r="L1273" s="2">
        <v>3.2175925925925926E-3</v>
      </c>
      <c r="M1273" s="2">
        <v>1.7013888888888887E-2</v>
      </c>
      <c r="N1273" s="2">
        <v>3.4236111111111113E-2</v>
      </c>
      <c r="O1273" s="2">
        <v>0</v>
      </c>
      <c r="P1273" s="2">
        <v>0</v>
      </c>
    </row>
    <row r="1274" spans="1:16" x14ac:dyDescent="0.3">
      <c r="A1274" s="1">
        <v>46031.293263888889</v>
      </c>
      <c r="B1274" s="1">
        <v>46031.362824074073</v>
      </c>
      <c r="C1274">
        <v>100.18</v>
      </c>
      <c r="D1274" s="2">
        <v>6.9560185185185183E-2</v>
      </c>
      <c r="E1274">
        <v>21.263999999999999</v>
      </c>
      <c r="F1274" s="2">
        <v>3.2638888888888891E-3</v>
      </c>
      <c r="G1274">
        <v>12.74</v>
      </c>
      <c r="H1274">
        <v>15.05</v>
      </c>
      <c r="I1274">
        <v>177</v>
      </c>
      <c r="J1274">
        <v>160</v>
      </c>
      <c r="K1274">
        <v>1605</v>
      </c>
      <c r="L1274" s="2">
        <v>3.1828703703703702E-3</v>
      </c>
      <c r="M1274" s="2">
        <v>1.6226851851851853E-2</v>
      </c>
      <c r="N1274" s="2">
        <v>3.2604166666666663E-2</v>
      </c>
      <c r="O1274" s="2">
        <v>6.8981481481481477E-2</v>
      </c>
      <c r="P1274" s="2">
        <v>0</v>
      </c>
    </row>
    <row r="1275" spans="1:16" x14ac:dyDescent="0.3">
      <c r="A1275" s="1">
        <v>46032.914479166669</v>
      </c>
      <c r="B1275" s="1">
        <v>46032.960011574076</v>
      </c>
      <c r="C1275">
        <v>62.55</v>
      </c>
      <c r="D1275" s="2">
        <v>4.3437499999999997E-2</v>
      </c>
      <c r="E1275">
        <v>12.753</v>
      </c>
      <c r="F1275" s="2">
        <v>3.4027777777777776E-3</v>
      </c>
      <c r="G1275">
        <v>12.23</v>
      </c>
      <c r="H1275">
        <v>15.65</v>
      </c>
      <c r="I1275">
        <v>159</v>
      </c>
      <c r="J1275">
        <v>140</v>
      </c>
      <c r="K1275">
        <v>893</v>
      </c>
      <c r="L1275" s="2">
        <v>2.9050925925925928E-3</v>
      </c>
      <c r="M1275" s="2">
        <v>1.6331018518518519E-2</v>
      </c>
      <c r="N1275" s="2">
        <v>3.3530092592592591E-2</v>
      </c>
      <c r="O1275" s="2">
        <v>0</v>
      </c>
      <c r="P1275" s="2">
        <v>0</v>
      </c>
    </row>
    <row r="1276" spans="1:16" x14ac:dyDescent="0.3">
      <c r="A1276" s="1">
        <v>46034.318310185183</v>
      </c>
      <c r="B1276" s="1">
        <v>46034.375451388885</v>
      </c>
      <c r="C1276">
        <v>80.459999999999994</v>
      </c>
      <c r="D1276" s="2">
        <v>5.5868055555555553E-2</v>
      </c>
      <c r="E1276">
        <v>18.751999999999999</v>
      </c>
      <c r="F1276" s="2">
        <v>2.9745370370370373E-3</v>
      </c>
      <c r="G1276">
        <v>13.98</v>
      </c>
      <c r="H1276">
        <v>17.100000000000001</v>
      </c>
      <c r="I1276">
        <v>177</v>
      </c>
      <c r="J1276">
        <v>153</v>
      </c>
      <c r="K1276">
        <v>1259</v>
      </c>
      <c r="L1276" s="2">
        <v>2.5810185185185185E-3</v>
      </c>
      <c r="M1276" s="2">
        <v>1.3495370370370371E-2</v>
      </c>
      <c r="N1276" s="2">
        <v>2.8171296296296295E-2</v>
      </c>
      <c r="O1276" s="2">
        <v>0</v>
      </c>
      <c r="P1276" s="2">
        <v>0</v>
      </c>
    </row>
    <row r="1277" spans="1:16" x14ac:dyDescent="0.3">
      <c r="A1277" s="1">
        <v>46036.957280092596</v>
      </c>
      <c r="B1277" s="1">
        <v>46036.999583333331</v>
      </c>
      <c r="C1277">
        <v>60.92</v>
      </c>
      <c r="D1277" s="2">
        <v>4.2303240740740738E-2</v>
      </c>
      <c r="E1277">
        <v>12.509</v>
      </c>
      <c r="F1277" s="2">
        <v>3.3796296296296296E-3</v>
      </c>
      <c r="G1277">
        <v>12.32</v>
      </c>
      <c r="H1277">
        <v>16.23</v>
      </c>
      <c r="I1277">
        <v>154</v>
      </c>
      <c r="J1277">
        <v>140</v>
      </c>
      <c r="K1277">
        <v>866</v>
      </c>
      <c r="L1277" s="2">
        <v>3.1944444444444446E-3</v>
      </c>
      <c r="M1277" s="2">
        <v>1.6585648148148148E-2</v>
      </c>
      <c r="N1277" s="2">
        <v>3.366898148148148E-2</v>
      </c>
      <c r="O1277" s="2">
        <v>0</v>
      </c>
      <c r="P1277" s="2">
        <v>0</v>
      </c>
    </row>
    <row r="1278" spans="1:16" x14ac:dyDescent="0.3">
      <c r="A1278" s="1">
        <v>46037.946851851855</v>
      </c>
      <c r="B1278" s="1">
        <v>46038.033715277779</v>
      </c>
      <c r="C1278">
        <v>121.71</v>
      </c>
      <c r="D1278" s="2">
        <v>8.4513888888888888E-2</v>
      </c>
      <c r="E1278">
        <v>24.248000000000001</v>
      </c>
      <c r="F1278" s="2">
        <v>3.4837962962962965E-3</v>
      </c>
      <c r="G1278">
        <v>11.95</v>
      </c>
      <c r="H1278">
        <v>14.41</v>
      </c>
      <c r="I1278">
        <v>156</v>
      </c>
      <c r="J1278">
        <v>137</v>
      </c>
      <c r="K1278">
        <v>1658</v>
      </c>
      <c r="L1278" s="2">
        <v>3.1597222222222222E-3</v>
      </c>
      <c r="M1278" s="2">
        <v>1.6736111111111111E-2</v>
      </c>
      <c r="N1278" s="2">
        <v>3.4293981481481481E-2</v>
      </c>
      <c r="O1278" s="2">
        <v>7.3090277777777782E-2</v>
      </c>
      <c r="P1278" s="2">
        <v>0</v>
      </c>
    </row>
    <row r="1279" spans="1:16" x14ac:dyDescent="0.3">
      <c r="A1279" s="1">
        <v>46039.914027777777</v>
      </c>
      <c r="B1279" s="1">
        <v>46039.964328703703</v>
      </c>
      <c r="C1279">
        <v>72.44</v>
      </c>
      <c r="D1279" s="2">
        <v>5.0300925925925923E-2</v>
      </c>
      <c r="E1279">
        <v>15.253</v>
      </c>
      <c r="F1279" s="2">
        <v>3.2870370370370371E-3</v>
      </c>
      <c r="G1279">
        <v>12.63</v>
      </c>
      <c r="H1279">
        <v>15.48</v>
      </c>
      <c r="I1279">
        <v>165</v>
      </c>
      <c r="J1279">
        <v>147</v>
      </c>
      <c r="K1279">
        <v>1074</v>
      </c>
      <c r="L1279" s="2">
        <v>3.0555555555555557E-3</v>
      </c>
      <c r="M1279" s="2">
        <v>1.59375E-2</v>
      </c>
      <c r="N1279" s="2">
        <v>3.2662037037037038E-2</v>
      </c>
      <c r="O1279" s="2">
        <v>0</v>
      </c>
      <c r="P1279" s="2">
        <v>0</v>
      </c>
    </row>
    <row r="1280" spans="1:16" x14ac:dyDescent="0.3">
      <c r="A1280" s="1">
        <v>46040.940023148149</v>
      </c>
      <c r="B1280" s="1">
        <v>46040.980694444443</v>
      </c>
      <c r="C1280">
        <v>58.58</v>
      </c>
      <c r="D1280" s="2">
        <v>4.0671296296296296E-2</v>
      </c>
      <c r="E1280">
        <v>12.249000000000001</v>
      </c>
      <c r="F1280" s="2">
        <v>3.3101851851851851E-3</v>
      </c>
      <c r="G1280">
        <v>12.55</v>
      </c>
      <c r="H1280">
        <v>16.329999999999998</v>
      </c>
      <c r="I1280">
        <v>166</v>
      </c>
      <c r="J1280">
        <v>145</v>
      </c>
      <c r="K1280">
        <v>841</v>
      </c>
      <c r="L1280" s="2">
        <v>2.9398148148148148E-3</v>
      </c>
      <c r="M1280" s="2">
        <v>1.59375E-2</v>
      </c>
      <c r="N1280" s="2">
        <v>3.2766203703703707E-2</v>
      </c>
      <c r="O1280" s="2">
        <v>0</v>
      </c>
      <c r="P1280" s="2">
        <v>0</v>
      </c>
    </row>
    <row r="1281" spans="1:16" x14ac:dyDescent="0.3">
      <c r="A1281" s="1">
        <v>46042.898888888885</v>
      </c>
      <c r="B1281" s="1">
        <v>46042.969340277778</v>
      </c>
      <c r="C1281">
        <v>101.47</v>
      </c>
      <c r="D1281" s="2">
        <v>7.0451388888888883E-2</v>
      </c>
      <c r="E1281">
        <v>21.247</v>
      </c>
      <c r="F1281" s="2">
        <v>3.3101851851851851E-3</v>
      </c>
      <c r="G1281">
        <v>12.56</v>
      </c>
      <c r="H1281">
        <v>18.54</v>
      </c>
      <c r="I1281">
        <v>178</v>
      </c>
      <c r="J1281">
        <v>155</v>
      </c>
      <c r="K1281">
        <v>1535</v>
      </c>
      <c r="L1281" s="2">
        <v>2.8124999999999999E-3</v>
      </c>
      <c r="M1281" s="2">
        <v>1.4849537037037038E-2</v>
      </c>
      <c r="N1281" s="2">
        <v>3.0324074074074073E-2</v>
      </c>
      <c r="O1281" s="2">
        <v>6.9918981481481485E-2</v>
      </c>
      <c r="P1281" s="2">
        <v>0</v>
      </c>
    </row>
    <row r="1282" spans="1:16" x14ac:dyDescent="0.3">
      <c r="A1282" s="1">
        <v>46044.962581018517</v>
      </c>
      <c r="B1282" s="1">
        <v>46044.965671296297</v>
      </c>
      <c r="C1282">
        <v>4.46</v>
      </c>
      <c r="D1282" s="2">
        <v>3.0902777777777777E-3</v>
      </c>
      <c r="E1282">
        <v>0.85199999999999998</v>
      </c>
      <c r="F1282" s="2">
        <v>3.6342592592592594E-3</v>
      </c>
      <c r="G1282">
        <v>11.45</v>
      </c>
      <c r="H1282">
        <v>12.93</v>
      </c>
      <c r="I1282">
        <v>147</v>
      </c>
      <c r="J1282">
        <v>122</v>
      </c>
      <c r="K1282">
        <v>62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</row>
    <row r="1283" spans="1:16" x14ac:dyDescent="0.3">
      <c r="A1283" s="1">
        <v>46045.392222222225</v>
      </c>
      <c r="B1283" s="1">
        <v>46045.492094907408</v>
      </c>
      <c r="C1283">
        <v>143.09</v>
      </c>
      <c r="D1283" s="2">
        <v>9.9363425925925924E-2</v>
      </c>
      <c r="E1283">
        <v>30.297000000000001</v>
      </c>
      <c r="F1283" s="2">
        <v>3.2754629629629631E-3</v>
      </c>
      <c r="G1283">
        <v>12.7</v>
      </c>
      <c r="H1283">
        <v>15.72</v>
      </c>
      <c r="I1283">
        <v>166</v>
      </c>
      <c r="J1283">
        <v>147</v>
      </c>
      <c r="K1283">
        <v>2068</v>
      </c>
      <c r="L1283" s="2">
        <v>2.9050925925925928E-3</v>
      </c>
      <c r="M1283" s="2">
        <v>1.5266203703703704E-2</v>
      </c>
      <c r="N1283" s="2">
        <v>3.1122685185185184E-2</v>
      </c>
      <c r="O1283" s="2">
        <v>6.7766203703703703E-2</v>
      </c>
      <c r="P1283" s="2">
        <v>0</v>
      </c>
    </row>
    <row r="1284" spans="1:16" x14ac:dyDescent="0.3">
      <c r="A1284" s="1">
        <v>46047.84642361111</v>
      </c>
      <c r="B1284" s="1">
        <v>46047.899212962962</v>
      </c>
      <c r="C1284">
        <v>74.010000000000005</v>
      </c>
      <c r="D1284" s="2">
        <v>5.1388888888888887E-2</v>
      </c>
      <c r="E1284">
        <v>16.248999999999999</v>
      </c>
      <c r="F1284" s="2">
        <v>3.1597222222222222E-3</v>
      </c>
      <c r="G1284">
        <v>13.17</v>
      </c>
      <c r="H1284">
        <v>18.440000000000001</v>
      </c>
      <c r="I1284">
        <v>176</v>
      </c>
      <c r="J1284">
        <v>149</v>
      </c>
      <c r="K1284">
        <v>1111</v>
      </c>
      <c r="L1284" s="2">
        <v>2.650462962962963E-3</v>
      </c>
      <c r="M1284" s="2">
        <v>1.4780092592592593E-2</v>
      </c>
      <c r="N1284" s="2">
        <v>3.0879629629629628E-2</v>
      </c>
      <c r="O1284" s="2">
        <v>0</v>
      </c>
      <c r="P1284" s="2">
        <v>0</v>
      </c>
    </row>
    <row r="1285" spans="1:16" x14ac:dyDescent="0.3">
      <c r="A1285" s="1">
        <v>46049.909710648149</v>
      </c>
      <c r="B1285" s="1">
        <v>46049.986145833333</v>
      </c>
      <c r="C1285">
        <v>110.08</v>
      </c>
      <c r="D1285" s="2">
        <v>7.6435185185185189E-2</v>
      </c>
      <c r="E1285">
        <v>23.251999999999999</v>
      </c>
      <c r="F1285" s="2">
        <v>3.2870370370370371E-3</v>
      </c>
      <c r="G1285">
        <v>12.67</v>
      </c>
      <c r="H1285">
        <v>17.43</v>
      </c>
      <c r="I1285">
        <v>167</v>
      </c>
      <c r="J1285">
        <v>145</v>
      </c>
      <c r="K1285">
        <v>1613</v>
      </c>
      <c r="L1285" s="2">
        <v>2.7430555555555554E-3</v>
      </c>
      <c r="M1285" s="2">
        <v>1.4583333333333334E-2</v>
      </c>
      <c r="N1285" s="2">
        <v>2.9733796296296296E-2</v>
      </c>
      <c r="O1285" s="2">
        <v>6.8541666666666667E-2</v>
      </c>
      <c r="P1285" s="2">
        <v>0</v>
      </c>
    </row>
    <row r="1286" spans="1:16" x14ac:dyDescent="0.3">
      <c r="A1286" s="1">
        <v>46051.960960648146</v>
      </c>
      <c r="B1286" s="1">
        <v>46052.024756944447</v>
      </c>
      <c r="C1286">
        <v>91.87</v>
      </c>
      <c r="D1286" s="2">
        <v>6.3784722222222229E-2</v>
      </c>
      <c r="E1286">
        <v>18.5</v>
      </c>
      <c r="F1286" s="2">
        <v>3.4375E-3</v>
      </c>
      <c r="G1286">
        <v>12.08</v>
      </c>
      <c r="H1286">
        <v>0</v>
      </c>
      <c r="I1286">
        <v>0</v>
      </c>
      <c r="J1286">
        <v>0</v>
      </c>
      <c r="K1286">
        <v>1504</v>
      </c>
      <c r="L1286" s="2">
        <v>3.4375E-3</v>
      </c>
      <c r="M1286" s="2">
        <v>1.7233796296296296E-2</v>
      </c>
      <c r="N1286" s="2">
        <v>3.4479166666666665E-2</v>
      </c>
      <c r="O1286" s="2">
        <v>0</v>
      </c>
      <c r="P1286" s="2">
        <v>0</v>
      </c>
    </row>
    <row r="1287" spans="1:16" x14ac:dyDescent="0.3">
      <c r="A1287" s="1">
        <v>46052.640173611115</v>
      </c>
      <c r="B1287" s="1">
        <v>46052.682280092595</v>
      </c>
      <c r="C1287">
        <v>60.64</v>
      </c>
      <c r="D1287" s="2">
        <v>4.2106481481481481E-2</v>
      </c>
      <c r="E1287">
        <v>13.003</v>
      </c>
      <c r="F1287" s="2">
        <v>3.2291666666666666E-3</v>
      </c>
      <c r="G1287">
        <v>12.87</v>
      </c>
      <c r="H1287">
        <v>15.72</v>
      </c>
      <c r="I1287">
        <v>160</v>
      </c>
      <c r="J1287">
        <v>149</v>
      </c>
      <c r="K1287">
        <v>908</v>
      </c>
      <c r="L1287" s="2">
        <v>3.1018518518518517E-3</v>
      </c>
      <c r="M1287" s="2">
        <v>1.5960648148148147E-2</v>
      </c>
      <c r="N1287" s="2">
        <v>3.2037037037037037E-2</v>
      </c>
      <c r="O1287" s="2">
        <v>0</v>
      </c>
      <c r="P1287" s="2">
        <v>0</v>
      </c>
    </row>
    <row r="1288" spans="1:16" x14ac:dyDescent="0.3">
      <c r="A1288" s="1">
        <v>46053.930474537039</v>
      </c>
      <c r="B1288" s="1">
        <v>46053.97378472222</v>
      </c>
      <c r="C1288">
        <v>62.37</v>
      </c>
      <c r="D1288" s="2">
        <v>4.3310185185185188E-2</v>
      </c>
      <c r="E1288">
        <v>12.749000000000001</v>
      </c>
      <c r="F1288" s="2">
        <v>3.3912037037037036E-3</v>
      </c>
      <c r="G1288">
        <v>12.26</v>
      </c>
      <c r="H1288">
        <v>18.309999999999999</v>
      </c>
      <c r="I1288">
        <v>162</v>
      </c>
      <c r="J1288">
        <v>143</v>
      </c>
      <c r="K1288">
        <v>898</v>
      </c>
      <c r="L1288" s="2">
        <v>3.1828703703703702E-3</v>
      </c>
      <c r="M1288" s="2">
        <v>1.6724537037037038E-2</v>
      </c>
      <c r="N1288" s="2">
        <v>3.3842592592592591E-2</v>
      </c>
      <c r="O1288" s="2">
        <v>0</v>
      </c>
      <c r="P1288" s="2">
        <v>0</v>
      </c>
    </row>
    <row r="1289" spans="1:16" x14ac:dyDescent="0.3">
      <c r="A1289" s="1">
        <v>46054.921527777777</v>
      </c>
      <c r="B1289" s="1">
        <v>46054.970891203702</v>
      </c>
      <c r="C1289">
        <v>71.08</v>
      </c>
      <c r="D1289" s="2">
        <v>4.9363425925925929E-2</v>
      </c>
      <c r="E1289">
        <v>13.757999999999999</v>
      </c>
      <c r="F1289" s="2">
        <v>3.5879629629629629E-3</v>
      </c>
      <c r="G1289">
        <v>11.61</v>
      </c>
      <c r="H1289">
        <v>12.83</v>
      </c>
      <c r="I1289">
        <v>148</v>
      </c>
      <c r="J1289">
        <v>135</v>
      </c>
      <c r="K1289">
        <v>948</v>
      </c>
      <c r="L1289" s="2">
        <v>3.4027777777777776E-3</v>
      </c>
      <c r="M1289" s="2">
        <v>1.7638888888888888E-2</v>
      </c>
      <c r="N1289" s="2">
        <v>3.560185185185185E-2</v>
      </c>
      <c r="O1289" s="2">
        <v>0</v>
      </c>
      <c r="P1289" s="2">
        <v>0</v>
      </c>
    </row>
    <row r="1290" spans="1:16" x14ac:dyDescent="0.3">
      <c r="A1290" s="1">
        <v>46056.878807870373</v>
      </c>
      <c r="B1290" s="1">
        <v>46056.963888888888</v>
      </c>
      <c r="C1290">
        <v>116.77</v>
      </c>
      <c r="D1290" s="2">
        <v>8.1076388888888892E-2</v>
      </c>
      <c r="E1290">
        <v>24.004000000000001</v>
      </c>
      <c r="F1290" s="2">
        <v>3.3680555555555556E-3</v>
      </c>
      <c r="G1290">
        <v>12.33</v>
      </c>
      <c r="H1290">
        <v>16.329999999999998</v>
      </c>
      <c r="I1290">
        <v>167</v>
      </c>
      <c r="J1290">
        <v>143</v>
      </c>
      <c r="K1290">
        <v>1645</v>
      </c>
      <c r="L1290" s="2">
        <v>2.9745370370370373E-3</v>
      </c>
      <c r="M1290" s="2">
        <v>1.5601851851851851E-2</v>
      </c>
      <c r="N1290" s="2">
        <v>3.1412037037037037E-2</v>
      </c>
      <c r="O1290" s="2">
        <v>7.0428240740740736E-2</v>
      </c>
      <c r="P1290" s="2">
        <v>0</v>
      </c>
    </row>
    <row r="1291" spans="1:16" x14ac:dyDescent="0.3">
      <c r="A1291" s="1">
        <v>46057.92869212963</v>
      </c>
      <c r="B1291" s="1">
        <v>46057.96980324074</v>
      </c>
      <c r="C1291">
        <v>59.21</v>
      </c>
      <c r="D1291" s="2">
        <v>4.1111111111111112E-2</v>
      </c>
      <c r="E1291">
        <v>12.003</v>
      </c>
      <c r="F1291" s="2">
        <v>3.414351851851852E-3</v>
      </c>
      <c r="G1291">
        <v>12.16</v>
      </c>
      <c r="H1291">
        <v>14.01</v>
      </c>
      <c r="I1291">
        <v>151</v>
      </c>
      <c r="J1291">
        <v>137</v>
      </c>
      <c r="K1291">
        <v>823</v>
      </c>
      <c r="L1291" s="2">
        <v>3.2986111111111111E-3</v>
      </c>
      <c r="M1291" s="2">
        <v>1.6840277777777777E-2</v>
      </c>
      <c r="N1291" s="2">
        <v>3.408564814814815E-2</v>
      </c>
      <c r="O1291" s="2">
        <v>0</v>
      </c>
      <c r="P1291" s="2">
        <v>0</v>
      </c>
    </row>
    <row r="1292" spans="1:16" x14ac:dyDescent="0.3">
      <c r="A1292" s="1">
        <v>46058.979201388887</v>
      </c>
      <c r="B1292" s="1">
        <v>46059.033472222225</v>
      </c>
      <c r="C1292">
        <v>78.150000000000006</v>
      </c>
      <c r="D1292" s="2">
        <v>5.4270833333333331E-2</v>
      </c>
      <c r="E1292">
        <v>16.745000000000001</v>
      </c>
      <c r="F1292" s="2">
        <v>3.2407407407407406E-3</v>
      </c>
      <c r="G1292">
        <v>12.86</v>
      </c>
      <c r="H1292">
        <v>17.329999999999998</v>
      </c>
      <c r="I1292">
        <v>179</v>
      </c>
      <c r="J1292">
        <v>150</v>
      </c>
      <c r="K1292">
        <v>1162</v>
      </c>
      <c r="L1292" s="2">
        <v>2.8009259259259259E-3</v>
      </c>
      <c r="M1292" s="2">
        <v>1.4525462962962962E-2</v>
      </c>
      <c r="N1292" s="2">
        <v>3.0740740740740742E-2</v>
      </c>
      <c r="O1292" s="2">
        <v>0</v>
      </c>
      <c r="P1292" s="2">
        <v>0</v>
      </c>
    </row>
    <row r="1293" spans="1:16" x14ac:dyDescent="0.3">
      <c r="A1293" s="1">
        <v>46059.639386574076</v>
      </c>
      <c r="B1293" s="1">
        <v>46059.676562499997</v>
      </c>
      <c r="C1293">
        <v>53.54</v>
      </c>
      <c r="D1293" s="2">
        <v>3.7175925925925925E-2</v>
      </c>
      <c r="E1293">
        <v>10.505000000000001</v>
      </c>
      <c r="F1293" s="2">
        <v>3.5300925925925925E-3</v>
      </c>
      <c r="G1293">
        <v>11.77</v>
      </c>
      <c r="H1293">
        <v>14.98</v>
      </c>
      <c r="I1293">
        <v>150</v>
      </c>
      <c r="J1293">
        <v>137</v>
      </c>
      <c r="K1293">
        <v>732</v>
      </c>
      <c r="L1293" s="2">
        <v>3.3680555555555556E-3</v>
      </c>
      <c r="M1293" s="2">
        <v>1.7523148148148149E-2</v>
      </c>
      <c r="N1293" s="2">
        <v>3.5509259259259261E-2</v>
      </c>
      <c r="O1293" s="2">
        <v>0</v>
      </c>
      <c r="P1293" s="2">
        <v>0</v>
      </c>
    </row>
    <row r="1294" spans="1:16" x14ac:dyDescent="0.3">
      <c r="A1294" s="1">
        <v>46060.952546296299</v>
      </c>
      <c r="B1294" s="1">
        <v>46060.996747685182</v>
      </c>
      <c r="C1294">
        <v>63.66</v>
      </c>
      <c r="D1294" s="2">
        <v>4.4201388888888887E-2</v>
      </c>
      <c r="E1294">
        <v>13.007</v>
      </c>
      <c r="F1294" s="2">
        <v>3.3912037037037036E-3</v>
      </c>
      <c r="G1294">
        <v>12.26</v>
      </c>
      <c r="H1294">
        <v>14.68</v>
      </c>
      <c r="I1294">
        <v>166</v>
      </c>
      <c r="J1294">
        <v>148</v>
      </c>
      <c r="K1294">
        <v>920</v>
      </c>
      <c r="L1294" s="2">
        <v>3.1134259259259257E-3</v>
      </c>
      <c r="M1294" s="2">
        <v>1.6284722222222221E-2</v>
      </c>
      <c r="N1294" s="2">
        <v>3.3310185185185186E-2</v>
      </c>
      <c r="O1294" s="2">
        <v>0</v>
      </c>
      <c r="P1294" s="2">
        <v>0</v>
      </c>
    </row>
    <row r="1295" spans="1:16" x14ac:dyDescent="0.3">
      <c r="A1295" s="1">
        <v>46062.780243055553</v>
      </c>
      <c r="B1295" s="1">
        <v>46062.832766203705</v>
      </c>
      <c r="C1295">
        <v>75.63</v>
      </c>
      <c r="D1295" s="2">
        <v>5.2523148148148145E-2</v>
      </c>
      <c r="E1295">
        <v>16.006</v>
      </c>
      <c r="F1295" s="2">
        <v>3.2754629629629631E-3</v>
      </c>
      <c r="G1295">
        <v>12.7</v>
      </c>
      <c r="H1295">
        <v>19.82</v>
      </c>
      <c r="I1295">
        <v>172</v>
      </c>
      <c r="J1295">
        <v>146</v>
      </c>
      <c r="K1295">
        <v>1113</v>
      </c>
      <c r="L1295" s="2">
        <v>2.7662037037037039E-3</v>
      </c>
      <c r="M1295" s="2">
        <v>1.511574074074074E-2</v>
      </c>
      <c r="N1295" s="2">
        <v>3.1550925925925927E-2</v>
      </c>
      <c r="O1295" s="2">
        <v>0</v>
      </c>
      <c r="P1295" s="2">
        <v>0</v>
      </c>
    </row>
    <row r="1296" spans="1:16" x14ac:dyDescent="0.3">
      <c r="A1296" s="1">
        <v>46063.864872685182</v>
      </c>
      <c r="B1296" s="1">
        <v>46063.911238425928</v>
      </c>
      <c r="C1296">
        <v>63.97</v>
      </c>
      <c r="D1296" s="2">
        <v>4.4421296296296299E-2</v>
      </c>
      <c r="E1296">
        <v>13.004</v>
      </c>
      <c r="F1296" s="2">
        <v>3.414351851851852E-3</v>
      </c>
      <c r="G1296">
        <v>12.2</v>
      </c>
      <c r="H1296">
        <v>15.85</v>
      </c>
      <c r="I1296">
        <v>169</v>
      </c>
      <c r="J1296">
        <v>141</v>
      </c>
      <c r="K1296">
        <v>887</v>
      </c>
      <c r="L1296" s="2">
        <v>3.1828703703703702E-3</v>
      </c>
      <c r="M1296" s="2">
        <v>1.6701388888888891E-2</v>
      </c>
      <c r="N1296" s="2">
        <v>3.394675925925926E-2</v>
      </c>
      <c r="O1296" s="2">
        <v>0</v>
      </c>
      <c r="P1296" s="2">
        <v>0</v>
      </c>
    </row>
    <row r="1297" spans="1:16" x14ac:dyDescent="0.3">
      <c r="A1297" s="1">
        <v>46065.933749999997</v>
      </c>
      <c r="B1297" s="1">
        <v>46065.999502314815</v>
      </c>
      <c r="C1297">
        <v>94.69</v>
      </c>
      <c r="D1297" s="2">
        <v>6.5752314814814819E-2</v>
      </c>
      <c r="E1297">
        <v>21.128</v>
      </c>
      <c r="F1297" s="2">
        <v>3.1018518518518517E-3</v>
      </c>
      <c r="G1297">
        <v>13.39</v>
      </c>
      <c r="H1297">
        <v>16.02</v>
      </c>
      <c r="I1297">
        <v>163</v>
      </c>
      <c r="J1297">
        <v>146</v>
      </c>
      <c r="K1297">
        <v>1408</v>
      </c>
      <c r="L1297" s="2">
        <v>2.7199074074074074E-3</v>
      </c>
      <c r="M1297" s="2">
        <v>1.4884259259259259E-2</v>
      </c>
      <c r="N1297" s="2">
        <v>3.033564814814815E-2</v>
      </c>
      <c r="O1297" s="2">
        <v>6.5694444444444444E-2</v>
      </c>
      <c r="P1297" s="2">
        <v>0</v>
      </c>
    </row>
    <row r="1298" spans="1:16" x14ac:dyDescent="0.3">
      <c r="A1298" s="1">
        <v>46066.001747685186</v>
      </c>
      <c r="B1298" s="1">
        <v>46066.029027777775</v>
      </c>
      <c r="C1298">
        <v>33.6</v>
      </c>
      <c r="D1298" s="2">
        <v>2.3321759259259261E-2</v>
      </c>
      <c r="E1298">
        <v>6.2489999999999997</v>
      </c>
      <c r="F1298" s="2">
        <v>3.7268518518518519E-3</v>
      </c>
      <c r="G1298">
        <v>11.16</v>
      </c>
      <c r="H1298">
        <v>12.97</v>
      </c>
      <c r="I1298">
        <v>143</v>
      </c>
      <c r="J1298">
        <v>126</v>
      </c>
      <c r="K1298">
        <v>422</v>
      </c>
      <c r="L1298" s="2">
        <v>3.5763888888888889E-3</v>
      </c>
      <c r="M1298" s="2">
        <v>1.8541666666666668E-2</v>
      </c>
      <c r="N1298" s="2">
        <v>0</v>
      </c>
      <c r="O1298" s="2">
        <v>0</v>
      </c>
      <c r="P1298" s="2">
        <v>0</v>
      </c>
    </row>
    <row r="1299" spans="1:16" x14ac:dyDescent="0.3">
      <c r="A1299" s="1">
        <v>46066.642824074072</v>
      </c>
      <c r="B1299" s="1">
        <v>46066.681504629632</v>
      </c>
      <c r="C1299">
        <v>55.7</v>
      </c>
      <c r="D1299" s="2">
        <v>3.8680555555555558E-2</v>
      </c>
      <c r="E1299">
        <v>11.005000000000001</v>
      </c>
      <c r="F1299" s="2">
        <v>3.5069444444444445E-3</v>
      </c>
      <c r="G1299">
        <v>11.85</v>
      </c>
      <c r="H1299">
        <v>17.43</v>
      </c>
      <c r="I1299">
        <v>149</v>
      </c>
      <c r="J1299">
        <v>140</v>
      </c>
      <c r="K1299">
        <v>771</v>
      </c>
      <c r="L1299" s="2">
        <v>3.2407407407407406E-3</v>
      </c>
      <c r="M1299" s="2">
        <v>1.744212962962963E-2</v>
      </c>
      <c r="N1299" s="2">
        <v>3.5196759259259261E-2</v>
      </c>
      <c r="O1299" s="2">
        <v>0</v>
      </c>
      <c r="P1299" s="2">
        <v>0</v>
      </c>
    </row>
    <row r="1300" spans="1:16" x14ac:dyDescent="0.3">
      <c r="A1300" s="1">
        <v>46068.938888888886</v>
      </c>
      <c r="B1300" s="1">
        <v>46068.997754629629</v>
      </c>
      <c r="C1300">
        <v>84.77</v>
      </c>
      <c r="D1300" s="2">
        <v>5.8865740740740739E-2</v>
      </c>
      <c r="E1300">
        <v>18.004999999999999</v>
      </c>
      <c r="F1300" s="2">
        <v>3.2638888888888891E-3</v>
      </c>
      <c r="G1300">
        <v>12.74</v>
      </c>
      <c r="H1300">
        <v>16.96</v>
      </c>
      <c r="I1300">
        <v>170</v>
      </c>
      <c r="J1300">
        <v>155</v>
      </c>
      <c r="K1300">
        <v>1277</v>
      </c>
      <c r="L1300" s="2">
        <v>3.0555555555555557E-3</v>
      </c>
      <c r="M1300" s="2">
        <v>1.5902777777777776E-2</v>
      </c>
      <c r="N1300" s="2">
        <v>3.1956018518518516E-2</v>
      </c>
      <c r="O1300" s="2">
        <v>0</v>
      </c>
      <c r="P1300" s="2">
        <v>0</v>
      </c>
    </row>
    <row r="1301" spans="1:16" x14ac:dyDescent="0.3">
      <c r="A1301" s="1">
        <v>46070.713831018518</v>
      </c>
      <c r="B1301" s="1">
        <v>46070.761284722219</v>
      </c>
      <c r="C1301">
        <v>68.349999999999994</v>
      </c>
      <c r="D1301" s="2">
        <v>4.7453703703703706E-2</v>
      </c>
      <c r="E1301">
        <v>15.506</v>
      </c>
      <c r="F1301" s="2">
        <v>3.0555555555555557E-3</v>
      </c>
      <c r="G1301">
        <v>13.61</v>
      </c>
      <c r="H1301">
        <v>15.92</v>
      </c>
      <c r="I1301">
        <v>176</v>
      </c>
      <c r="J1301">
        <v>152</v>
      </c>
      <c r="K1301">
        <v>1046</v>
      </c>
      <c r="L1301" s="2">
        <v>2.8703703703703703E-3</v>
      </c>
      <c r="M1301" s="2">
        <v>1.4780092592592593E-2</v>
      </c>
      <c r="N1301" s="2">
        <v>2.9953703703703705E-2</v>
      </c>
      <c r="O1301" s="2">
        <v>0</v>
      </c>
      <c r="P1301" s="2">
        <v>0</v>
      </c>
    </row>
    <row r="1302" spans="1:16" x14ac:dyDescent="0.3">
      <c r="A1302" s="1">
        <v>46071.892175925925</v>
      </c>
      <c r="B1302" s="1">
        <v>46071.933923611112</v>
      </c>
      <c r="C1302">
        <v>60.12</v>
      </c>
      <c r="D1302" s="2">
        <v>4.1747685185185186E-2</v>
      </c>
      <c r="E1302">
        <v>12.497</v>
      </c>
      <c r="F1302" s="2">
        <v>3.3333333333333335E-3</v>
      </c>
      <c r="G1302">
        <v>12.47</v>
      </c>
      <c r="H1302">
        <v>15.32</v>
      </c>
      <c r="I1302">
        <v>153</v>
      </c>
      <c r="J1302">
        <v>140</v>
      </c>
      <c r="K1302">
        <v>851</v>
      </c>
      <c r="L1302" s="2">
        <v>3.1365740740740742E-3</v>
      </c>
      <c r="M1302" s="2">
        <v>1.6527777777777777E-2</v>
      </c>
      <c r="N1302" s="2">
        <v>3.335648148148148E-2</v>
      </c>
      <c r="O1302" s="2">
        <v>0</v>
      </c>
      <c r="P1302" s="2">
        <v>0</v>
      </c>
    </row>
    <row r="1303" spans="1:16" x14ac:dyDescent="0.3">
      <c r="A1303" s="1">
        <v>46073.542268518519</v>
      </c>
      <c r="B1303" s="1">
        <v>46073.606041666666</v>
      </c>
      <c r="C1303">
        <v>89.82</v>
      </c>
      <c r="D1303" s="2">
        <v>6.236111111111111E-2</v>
      </c>
      <c r="E1303">
        <v>17.597000000000001</v>
      </c>
      <c r="F1303" s="2">
        <v>3.5416666666666665E-3</v>
      </c>
      <c r="G1303">
        <v>11.76</v>
      </c>
      <c r="H1303">
        <v>14.11</v>
      </c>
      <c r="I1303">
        <v>158</v>
      </c>
      <c r="J1303">
        <v>138</v>
      </c>
      <c r="K1303">
        <v>1210</v>
      </c>
      <c r="L1303" s="2">
        <v>3.3101851851851851E-3</v>
      </c>
      <c r="M1303" s="2">
        <v>1.7256944444444443E-2</v>
      </c>
      <c r="N1303" s="2">
        <v>3.5243055555555555E-2</v>
      </c>
      <c r="O1303" s="2">
        <v>0</v>
      </c>
      <c r="P1303" s="2">
        <v>0</v>
      </c>
    </row>
    <row r="1304" spans="1:16" x14ac:dyDescent="0.3">
      <c r="A1304" s="1">
        <v>46075.770902777775</v>
      </c>
      <c r="B1304" s="1">
        <v>46075.842511574076</v>
      </c>
      <c r="C1304">
        <v>99.15</v>
      </c>
      <c r="D1304" s="2">
        <v>6.8854166666666661E-2</v>
      </c>
      <c r="E1304">
        <v>20.006</v>
      </c>
      <c r="F1304" s="2">
        <v>3.4375E-3</v>
      </c>
      <c r="G1304">
        <v>12.11</v>
      </c>
      <c r="H1304">
        <v>14.95</v>
      </c>
      <c r="I1304">
        <v>176</v>
      </c>
      <c r="J1304">
        <v>143</v>
      </c>
      <c r="K1304">
        <v>1387</v>
      </c>
      <c r="L1304" s="2">
        <v>3.1134259259259257E-3</v>
      </c>
      <c r="M1304" s="2">
        <v>1.6203703703703703E-2</v>
      </c>
      <c r="N1304" s="2">
        <v>3.3657407407407407E-2</v>
      </c>
      <c r="O1304" s="2">
        <v>0</v>
      </c>
      <c r="P1304" s="2">
        <v>0</v>
      </c>
    </row>
    <row r="1305" spans="1:16" x14ac:dyDescent="0.3">
      <c r="A1305" s="1">
        <v>46076.838171296295</v>
      </c>
      <c r="B1305" s="1">
        <v>46076.859791666669</v>
      </c>
      <c r="C1305">
        <v>31.14</v>
      </c>
      <c r="D1305" s="2">
        <v>2.162037037037037E-2</v>
      </c>
      <c r="E1305">
        <v>6.0030000000000001</v>
      </c>
      <c r="F1305" s="2">
        <v>3.5995370370370369E-3</v>
      </c>
      <c r="G1305">
        <v>11.57</v>
      </c>
      <c r="H1305">
        <v>14.44</v>
      </c>
      <c r="I1305">
        <v>156</v>
      </c>
      <c r="J1305">
        <v>141</v>
      </c>
      <c r="K1305">
        <v>439</v>
      </c>
      <c r="L1305" s="2">
        <v>3.2986111111111111E-3</v>
      </c>
      <c r="M1305" s="2">
        <v>1.7824074074074076E-2</v>
      </c>
      <c r="N1305" s="2">
        <v>0</v>
      </c>
      <c r="O1305" s="2">
        <v>0</v>
      </c>
      <c r="P1305" s="2">
        <v>0</v>
      </c>
    </row>
    <row r="1306" spans="1:16" x14ac:dyDescent="0.3">
      <c r="A1306" s="1">
        <v>46077.900995370372</v>
      </c>
      <c r="B1306" s="1">
        <v>46077.945289351854</v>
      </c>
      <c r="C1306">
        <v>63.79</v>
      </c>
      <c r="D1306" s="2">
        <v>4.4293981481481483E-2</v>
      </c>
      <c r="E1306">
        <v>12.497</v>
      </c>
      <c r="F1306" s="2">
        <v>3.5416666666666665E-3</v>
      </c>
      <c r="G1306">
        <v>11.75</v>
      </c>
      <c r="H1306">
        <v>13.47</v>
      </c>
      <c r="I1306">
        <v>172</v>
      </c>
      <c r="J1306">
        <v>140</v>
      </c>
      <c r="K1306">
        <v>874</v>
      </c>
      <c r="L1306" s="2">
        <v>3.3796296296296296E-3</v>
      </c>
      <c r="M1306" s="2">
        <v>1.7453703703703704E-2</v>
      </c>
      <c r="N1306" s="2">
        <v>3.5266203703703702E-2</v>
      </c>
      <c r="O1306" s="2">
        <v>0</v>
      </c>
      <c r="P1306" s="2">
        <v>0</v>
      </c>
    </row>
    <row r="1307" spans="1:16" x14ac:dyDescent="0.3">
      <c r="A1307" s="1">
        <v>46080.286874999998</v>
      </c>
      <c r="B1307" s="1">
        <v>46080.291967592595</v>
      </c>
      <c r="C1307">
        <v>7.35</v>
      </c>
      <c r="D1307" s="2">
        <v>5.092592592592593E-3</v>
      </c>
      <c r="E1307">
        <v>1.254</v>
      </c>
      <c r="F1307" s="2">
        <v>4.0625000000000001E-3</v>
      </c>
      <c r="G1307">
        <v>10.24</v>
      </c>
      <c r="H1307">
        <v>14.85</v>
      </c>
      <c r="I1307">
        <v>145</v>
      </c>
      <c r="J1307">
        <v>134</v>
      </c>
      <c r="K1307">
        <v>99</v>
      </c>
      <c r="L1307" s="2">
        <v>4.0046296296296297E-3</v>
      </c>
      <c r="M1307" s="2">
        <v>0</v>
      </c>
      <c r="N1307" s="2">
        <v>0</v>
      </c>
      <c r="O1307" s="2">
        <v>0</v>
      </c>
      <c r="P1307" s="2">
        <v>0</v>
      </c>
    </row>
    <row r="1308" spans="1:16" x14ac:dyDescent="0.3">
      <c r="A1308" s="1">
        <v>46080.302222222221</v>
      </c>
      <c r="B1308" s="1">
        <v>46080.431620370371</v>
      </c>
      <c r="C1308">
        <v>186.34</v>
      </c>
      <c r="D1308" s="2">
        <v>0.12939814814814815</v>
      </c>
      <c r="E1308">
        <v>42.451000000000001</v>
      </c>
      <c r="F1308" s="2">
        <v>3.0439814814814813E-3</v>
      </c>
      <c r="G1308">
        <v>13.67</v>
      </c>
      <c r="H1308">
        <v>16.53</v>
      </c>
      <c r="I1308">
        <v>179</v>
      </c>
      <c r="J1308">
        <v>162</v>
      </c>
      <c r="K1308">
        <v>2953</v>
      </c>
      <c r="L1308" s="2">
        <v>2.7083333333333334E-3</v>
      </c>
      <c r="M1308" s="2">
        <v>1.3703703703703704E-2</v>
      </c>
      <c r="N1308" s="2">
        <v>2.7824074074074074E-2</v>
      </c>
      <c r="O1308" s="2">
        <v>5.9421296296296298E-2</v>
      </c>
      <c r="P1308" s="2">
        <v>0.12854166666666667</v>
      </c>
    </row>
    <row r="1309" spans="1:16" x14ac:dyDescent="0.3">
      <c r="A1309" s="1">
        <v>46084.417407407411</v>
      </c>
      <c r="B1309" s="1">
        <v>46084.460243055553</v>
      </c>
      <c r="C1309">
        <v>61.69</v>
      </c>
      <c r="D1309" s="2">
        <v>4.283564814814815E-2</v>
      </c>
      <c r="E1309">
        <v>12.749000000000001</v>
      </c>
      <c r="F1309" s="2">
        <v>3.3564814814814816E-3</v>
      </c>
      <c r="G1309">
        <v>12.4</v>
      </c>
      <c r="H1309">
        <v>15.96</v>
      </c>
      <c r="I1309">
        <v>157</v>
      </c>
      <c r="J1309">
        <v>142</v>
      </c>
      <c r="K1309">
        <v>892</v>
      </c>
      <c r="L1309" s="2">
        <v>2.8472222222222223E-3</v>
      </c>
      <c r="M1309" s="2">
        <v>1.6284722222222221E-2</v>
      </c>
      <c r="N1309" s="2">
        <v>3.3275462962962965E-2</v>
      </c>
      <c r="O1309" s="2">
        <v>0</v>
      </c>
      <c r="P1309" s="2">
        <v>0</v>
      </c>
    </row>
    <row r="1310" spans="1:16" x14ac:dyDescent="0.3">
      <c r="A1310" s="1">
        <v>46085.913773148146</v>
      </c>
      <c r="B1310" s="1">
        <v>46085.970914351848</v>
      </c>
      <c r="C1310">
        <v>78.73</v>
      </c>
      <c r="D1310" s="2">
        <v>5.4664351851851853E-2</v>
      </c>
      <c r="E1310">
        <v>15.247999999999999</v>
      </c>
      <c r="F1310" s="2">
        <v>3.5763888888888889E-3</v>
      </c>
      <c r="G1310">
        <v>11.62</v>
      </c>
      <c r="H1310">
        <v>14.28</v>
      </c>
      <c r="I1310">
        <v>164</v>
      </c>
      <c r="J1310">
        <v>139</v>
      </c>
      <c r="K1310">
        <v>1041</v>
      </c>
      <c r="L1310" s="2">
        <v>3.1597222222222222E-3</v>
      </c>
      <c r="M1310" s="2">
        <v>1.7708333333333333E-2</v>
      </c>
      <c r="N1310" s="2">
        <v>3.546296296296296E-2</v>
      </c>
      <c r="O1310" s="2">
        <v>0</v>
      </c>
      <c r="P1310" s="2">
        <v>0</v>
      </c>
    </row>
    <row r="1311" spans="1:16" x14ac:dyDescent="0.3">
      <c r="A1311" s="1">
        <v>46087.243425925924</v>
      </c>
      <c r="B1311" s="1">
        <v>46087.309791666667</v>
      </c>
      <c r="C1311">
        <v>90.67</v>
      </c>
      <c r="D1311" s="2">
        <v>6.2962962962962957E-2</v>
      </c>
      <c r="E1311">
        <v>15.417999999999999</v>
      </c>
      <c r="F1311" s="2">
        <v>3.449074074074074E-3</v>
      </c>
      <c r="G1311">
        <v>12.05</v>
      </c>
      <c r="H1311">
        <v>20.350000000000001</v>
      </c>
      <c r="I1311">
        <v>160</v>
      </c>
      <c r="J1311">
        <v>141</v>
      </c>
      <c r="K1311">
        <v>1480</v>
      </c>
      <c r="L1311" s="2">
        <v>3.4027777777777776E-3</v>
      </c>
      <c r="M1311" s="2">
        <v>1.7650462962962962E-2</v>
      </c>
      <c r="N1311" s="2">
        <v>3.457175925925926E-2</v>
      </c>
      <c r="O1311" s="2">
        <v>0</v>
      </c>
      <c r="P1311" s="2">
        <v>0</v>
      </c>
    </row>
    <row r="1312" spans="1:16" x14ac:dyDescent="0.3">
      <c r="A1312" s="1">
        <v>46088.922974537039</v>
      </c>
      <c r="B1312" s="1">
        <v>46088.966296296298</v>
      </c>
      <c r="C1312">
        <v>61.31</v>
      </c>
      <c r="D1312" s="2">
        <v>4.2569444444444444E-2</v>
      </c>
      <c r="E1312">
        <v>12.502000000000001</v>
      </c>
      <c r="F1312" s="2">
        <v>3.4027777777777776E-3</v>
      </c>
      <c r="G1312">
        <v>12.23</v>
      </c>
      <c r="H1312">
        <v>14.08</v>
      </c>
      <c r="I1312">
        <v>158</v>
      </c>
      <c r="J1312">
        <v>141</v>
      </c>
      <c r="K1312">
        <v>872</v>
      </c>
      <c r="L1312" s="2">
        <v>3.2638888888888891E-3</v>
      </c>
      <c r="M1312" s="2">
        <v>1.6689814814814814E-2</v>
      </c>
      <c r="N1312" s="2">
        <v>3.3993055555555554E-2</v>
      </c>
      <c r="O1312" s="2">
        <v>0</v>
      </c>
      <c r="P1312" s="2">
        <v>0</v>
      </c>
    </row>
    <row r="1313" spans="1:16" x14ac:dyDescent="0.3">
      <c r="A1313" s="1">
        <v>46091.857708333337</v>
      </c>
      <c r="B1313" s="1">
        <v>46091.921817129631</v>
      </c>
      <c r="C1313">
        <v>89.55</v>
      </c>
      <c r="D1313" s="2">
        <v>6.21875E-2</v>
      </c>
      <c r="E1313">
        <v>18.501000000000001</v>
      </c>
      <c r="F1313" s="2">
        <v>3.3564814814814816E-3</v>
      </c>
      <c r="G1313">
        <v>12.4</v>
      </c>
      <c r="H1313">
        <v>14.68</v>
      </c>
      <c r="I1313">
        <v>167</v>
      </c>
      <c r="J1313">
        <v>142</v>
      </c>
      <c r="K1313">
        <v>1244</v>
      </c>
      <c r="L1313" s="2">
        <v>3.1018518518518517E-3</v>
      </c>
      <c r="M1313" s="2">
        <v>1.6087962962962964E-2</v>
      </c>
      <c r="N1313" s="2">
        <v>3.2870370370370369E-2</v>
      </c>
      <c r="O1313" s="2">
        <v>0</v>
      </c>
      <c r="P1313" s="2">
        <v>0</v>
      </c>
    </row>
    <row r="1314" spans="1:16" x14ac:dyDescent="0.3">
      <c r="A1314" s="1">
        <v>46092.927314814813</v>
      </c>
      <c r="B1314" s="1">
        <v>46092.972442129627</v>
      </c>
      <c r="C1314">
        <v>61.83</v>
      </c>
      <c r="D1314" s="2">
        <v>4.2928240740740739E-2</v>
      </c>
      <c r="E1314">
        <v>12.504</v>
      </c>
      <c r="F1314" s="2">
        <v>3.425925925925926E-3</v>
      </c>
      <c r="G1314">
        <v>12.13</v>
      </c>
      <c r="H1314">
        <v>15.55</v>
      </c>
      <c r="I1314">
        <v>158</v>
      </c>
      <c r="J1314">
        <v>140</v>
      </c>
      <c r="K1314">
        <v>864</v>
      </c>
      <c r="L1314" s="2">
        <v>3.1250000000000002E-3</v>
      </c>
      <c r="M1314" s="2">
        <v>1.6724537037037038E-2</v>
      </c>
      <c r="N1314" s="2">
        <v>3.4050925925925929E-2</v>
      </c>
      <c r="O1314" s="2">
        <v>0</v>
      </c>
      <c r="P1314" s="2">
        <v>0</v>
      </c>
    </row>
    <row r="1315" spans="1:16" x14ac:dyDescent="0.3">
      <c r="A1315" s="1">
        <v>46094.255208333336</v>
      </c>
      <c r="B1315" s="1">
        <v>46094.34878472222</v>
      </c>
      <c r="C1315">
        <v>120.23</v>
      </c>
      <c r="D1315" s="2">
        <v>8.3483796296296292E-2</v>
      </c>
      <c r="E1315">
        <v>26.753</v>
      </c>
      <c r="F1315" s="2">
        <v>3.1134259259259257E-3</v>
      </c>
      <c r="G1315">
        <v>13.35</v>
      </c>
      <c r="H1315">
        <v>29.26</v>
      </c>
      <c r="I1315">
        <v>176</v>
      </c>
      <c r="J1315">
        <v>154</v>
      </c>
      <c r="K1315">
        <v>1967</v>
      </c>
      <c r="L1315" s="2">
        <v>2.5578703703703705E-3</v>
      </c>
      <c r="M1315" s="2">
        <v>1.4861111111111111E-2</v>
      </c>
      <c r="N1315" s="2">
        <v>2.9965277777777778E-2</v>
      </c>
      <c r="O1315" s="2">
        <v>6.5844907407407408E-2</v>
      </c>
      <c r="P1315" s="2">
        <v>0</v>
      </c>
    </row>
    <row r="1316" spans="1:16" x14ac:dyDescent="0.3">
      <c r="A1316" s="1">
        <v>46096.886701388888</v>
      </c>
      <c r="B1316" s="1">
        <v>46096.936365740738</v>
      </c>
      <c r="C1316">
        <v>71.52</v>
      </c>
      <c r="D1316" s="2">
        <v>4.9664351851851848E-2</v>
      </c>
      <c r="E1316">
        <v>15.249000000000001</v>
      </c>
      <c r="F1316" s="2">
        <v>3.2523148148148147E-3</v>
      </c>
      <c r="G1316">
        <v>12.79</v>
      </c>
      <c r="H1316">
        <v>16.190000000000001</v>
      </c>
      <c r="I1316">
        <v>163</v>
      </c>
      <c r="J1316">
        <v>144</v>
      </c>
      <c r="K1316">
        <v>1044</v>
      </c>
      <c r="L1316" s="2">
        <v>2.8009259259259259E-3</v>
      </c>
      <c r="M1316" s="2">
        <v>1.5266203703703704E-2</v>
      </c>
      <c r="N1316" s="2">
        <v>3.1643518518518515E-2</v>
      </c>
      <c r="O1316" s="2">
        <v>0</v>
      </c>
      <c r="P1316" s="2">
        <v>0</v>
      </c>
    </row>
    <row r="1317" spans="1:16" x14ac:dyDescent="0.3">
      <c r="A1317" s="1">
        <v>46098.904236111113</v>
      </c>
      <c r="B1317" s="1">
        <v>46098.948298611111</v>
      </c>
      <c r="C1317">
        <v>63.46</v>
      </c>
      <c r="D1317" s="2">
        <v>4.4062499999999998E-2</v>
      </c>
      <c r="E1317">
        <v>12.497</v>
      </c>
      <c r="F1317" s="2">
        <v>3.5185185185185185E-3</v>
      </c>
      <c r="G1317">
        <v>11.82</v>
      </c>
      <c r="H1317">
        <v>15.85</v>
      </c>
      <c r="I1317">
        <v>158</v>
      </c>
      <c r="J1317">
        <v>133</v>
      </c>
      <c r="K1317">
        <v>858</v>
      </c>
      <c r="L1317" s="2">
        <v>3.1365740740740742E-3</v>
      </c>
      <c r="M1317" s="2">
        <v>1.7303240740740741E-2</v>
      </c>
      <c r="N1317" s="2">
        <v>3.5173611111111114E-2</v>
      </c>
      <c r="O1317" s="2">
        <v>0</v>
      </c>
      <c r="P1317" s="2">
        <v>0</v>
      </c>
    </row>
    <row r="1318" spans="1:16" x14ac:dyDescent="0.3">
      <c r="A1318" s="1">
        <v>46101.238622685189</v>
      </c>
      <c r="B1318" s="1">
        <v>46101.348645833335</v>
      </c>
      <c r="C1318">
        <v>133.15</v>
      </c>
      <c r="D1318" s="2">
        <v>9.2465277777777771E-2</v>
      </c>
      <c r="E1318">
        <v>27.501999999999999</v>
      </c>
      <c r="F1318" s="2">
        <v>3.3564814814814816E-3</v>
      </c>
      <c r="G1318">
        <v>12.39</v>
      </c>
      <c r="H1318">
        <v>23.01</v>
      </c>
      <c r="I1318">
        <v>169</v>
      </c>
      <c r="J1318">
        <v>145</v>
      </c>
      <c r="K1318">
        <v>1734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</row>
    <row r="1319" spans="1:16" x14ac:dyDescent="0.3">
      <c r="A1319" s="1">
        <v>46103.850717592592</v>
      </c>
      <c r="B1319" s="1">
        <v>46103.927199074074</v>
      </c>
      <c r="C1319">
        <v>105.87</v>
      </c>
      <c r="D1319" s="2">
        <v>7.3518518518518525E-2</v>
      </c>
      <c r="E1319">
        <v>21.248000000000001</v>
      </c>
      <c r="F1319" s="2">
        <v>3.449074074074074E-3</v>
      </c>
      <c r="G1319">
        <v>12.04</v>
      </c>
      <c r="H1319">
        <v>14.48</v>
      </c>
      <c r="I1319">
        <v>158</v>
      </c>
      <c r="J1319">
        <v>138</v>
      </c>
      <c r="K1319">
        <v>1446</v>
      </c>
      <c r="L1319" s="2">
        <v>3.1712962962962962E-3</v>
      </c>
      <c r="M1319" s="2">
        <v>1.6550925925925927E-2</v>
      </c>
      <c r="N1319" s="2">
        <v>3.4062500000000002E-2</v>
      </c>
      <c r="O1319" s="2">
        <v>7.2974537037037032E-2</v>
      </c>
      <c r="P1319" s="2">
        <v>0</v>
      </c>
    </row>
    <row r="1320" spans="1:16" x14ac:dyDescent="0.3">
      <c r="A1320" s="1">
        <v>46104.959050925929</v>
      </c>
      <c r="B1320" s="1">
        <v>46105.00072916667</v>
      </c>
      <c r="C1320">
        <v>60.03</v>
      </c>
      <c r="D1320" s="2">
        <v>4.1678240740740738E-2</v>
      </c>
      <c r="E1320">
        <v>12.503</v>
      </c>
      <c r="F1320" s="2">
        <v>3.3333333333333335E-3</v>
      </c>
      <c r="G1320">
        <v>12.5</v>
      </c>
      <c r="H1320">
        <v>14.64</v>
      </c>
      <c r="I1320">
        <v>155</v>
      </c>
      <c r="J1320">
        <v>137</v>
      </c>
      <c r="K1320">
        <v>835</v>
      </c>
      <c r="L1320" s="2">
        <v>2.9861111111111113E-3</v>
      </c>
      <c r="M1320" s="2">
        <v>1.6331018518518519E-2</v>
      </c>
      <c r="N1320" s="2">
        <v>3.318287037037037E-2</v>
      </c>
      <c r="O1320" s="2">
        <v>0</v>
      </c>
      <c r="P1320" s="2">
        <v>0</v>
      </c>
    </row>
    <row r="1321" spans="1:16" x14ac:dyDescent="0.3">
      <c r="A1321" s="1">
        <v>46108.244490740741</v>
      </c>
      <c r="B1321" s="1">
        <v>46108.327719907407</v>
      </c>
      <c r="C1321">
        <v>114.91</v>
      </c>
      <c r="D1321" s="2">
        <v>7.9791666666666664E-2</v>
      </c>
      <c r="E1321">
        <v>25.498999999999999</v>
      </c>
      <c r="F1321" s="2">
        <v>3.1250000000000002E-3</v>
      </c>
      <c r="G1321">
        <v>13.31</v>
      </c>
      <c r="H1321">
        <v>16.63</v>
      </c>
      <c r="I1321">
        <v>180</v>
      </c>
      <c r="J1321">
        <v>150</v>
      </c>
      <c r="K1321">
        <v>1585</v>
      </c>
      <c r="L1321" s="2">
        <v>2.4537037037037036E-3</v>
      </c>
      <c r="M1321" s="2">
        <v>1.3958333333333333E-2</v>
      </c>
      <c r="N1321" s="2">
        <v>2.9710648148148149E-2</v>
      </c>
      <c r="O1321" s="2">
        <v>6.6018518518518518E-2</v>
      </c>
      <c r="P1321" s="2">
        <v>0</v>
      </c>
    </row>
    <row r="1322" spans="1:16" x14ac:dyDescent="0.3">
      <c r="A1322" s="1">
        <v>46110.890381944446</v>
      </c>
      <c r="B1322" s="1">
        <v>46110.961851851855</v>
      </c>
      <c r="C1322">
        <v>102.93</v>
      </c>
      <c r="D1322" s="2">
        <v>7.1469907407407413E-2</v>
      </c>
      <c r="E1322">
        <v>22.753</v>
      </c>
      <c r="F1322" s="2">
        <v>3.2754629629629631E-3</v>
      </c>
      <c r="G1322">
        <v>12.68</v>
      </c>
      <c r="H1322">
        <v>17.2</v>
      </c>
      <c r="I1322">
        <v>168</v>
      </c>
      <c r="J1322">
        <v>146</v>
      </c>
      <c r="K1322">
        <v>1291</v>
      </c>
      <c r="L1322" s="2">
        <v>1.7708333333333332E-3</v>
      </c>
      <c r="M1322" s="2">
        <v>1.1111111111111112E-2</v>
      </c>
      <c r="N1322" s="2">
        <v>2.7037037037037037E-2</v>
      </c>
      <c r="O1322" s="2">
        <v>6.5601851851851856E-2</v>
      </c>
      <c r="P1322" s="2">
        <v>0</v>
      </c>
    </row>
    <row r="1323" spans="1:16" x14ac:dyDescent="0.3">
      <c r="A1323" s="1">
        <v>46111.915347222224</v>
      </c>
      <c r="B1323" s="1">
        <v>46111.966053240743</v>
      </c>
      <c r="C1323">
        <v>73.02</v>
      </c>
      <c r="D1323" s="2">
        <v>5.0706018518518518E-2</v>
      </c>
      <c r="E1323">
        <v>15.247999999999999</v>
      </c>
      <c r="F1323" s="2">
        <v>3.3217592592592591E-3</v>
      </c>
      <c r="G1323">
        <v>12.53</v>
      </c>
      <c r="H1323">
        <v>17.77</v>
      </c>
      <c r="I1323">
        <v>175</v>
      </c>
      <c r="J1323">
        <v>150</v>
      </c>
      <c r="K1323">
        <v>1090</v>
      </c>
      <c r="L1323" s="2">
        <v>3.1250000000000002E-3</v>
      </c>
      <c r="M1323" s="2">
        <v>1.6250000000000001E-2</v>
      </c>
      <c r="N1323" s="2">
        <v>3.2789351851851854E-2</v>
      </c>
      <c r="O1323" s="2">
        <v>0</v>
      </c>
      <c r="P1323" s="2">
        <v>0</v>
      </c>
    </row>
    <row r="1324" spans="1:16" x14ac:dyDescent="0.3">
      <c r="A1324" s="1">
        <v>46113.711736111109</v>
      </c>
      <c r="B1324" s="1">
        <v>46113.75099537037</v>
      </c>
      <c r="C1324">
        <v>46.87</v>
      </c>
      <c r="D1324" s="2">
        <v>3.2546296296296295E-2</v>
      </c>
      <c r="E1324">
        <v>10</v>
      </c>
      <c r="F1324" s="2">
        <v>3.2523148148148147E-3</v>
      </c>
      <c r="G1324">
        <v>12.8</v>
      </c>
      <c r="H1324">
        <v>18.78</v>
      </c>
      <c r="I1324">
        <v>159</v>
      </c>
      <c r="J1324">
        <v>147</v>
      </c>
      <c r="K1324">
        <v>696</v>
      </c>
      <c r="L1324" s="2">
        <v>3.1134259259259257E-3</v>
      </c>
      <c r="M1324" s="2">
        <v>1.6192129629629629E-2</v>
      </c>
      <c r="N1324" s="2">
        <v>3.2546296296296295E-2</v>
      </c>
      <c r="O1324" s="2">
        <v>0</v>
      </c>
      <c r="P1324" s="2">
        <v>0</v>
      </c>
    </row>
    <row r="1325" spans="1:16" x14ac:dyDescent="0.3">
      <c r="A1325" s="1">
        <v>46115.695543981485</v>
      </c>
      <c r="B1325" s="1">
        <v>46115.752453703702</v>
      </c>
      <c r="C1325">
        <v>81.96</v>
      </c>
      <c r="D1325" s="2">
        <v>5.6909722222222223E-2</v>
      </c>
      <c r="E1325">
        <v>17.75</v>
      </c>
      <c r="F1325" s="2">
        <v>3.2060185185185186E-3</v>
      </c>
      <c r="G1325">
        <v>12.99</v>
      </c>
      <c r="H1325">
        <v>17.100000000000001</v>
      </c>
      <c r="I1325">
        <v>158</v>
      </c>
      <c r="J1325">
        <v>148</v>
      </c>
      <c r="K1325">
        <v>1209</v>
      </c>
      <c r="L1325" s="2">
        <v>2.9976851851851853E-3</v>
      </c>
      <c r="M1325" s="2">
        <v>1.525462962962963E-2</v>
      </c>
      <c r="N1325" s="2">
        <v>3.0972222222222224E-2</v>
      </c>
      <c r="O1325" s="2">
        <v>0</v>
      </c>
      <c r="P1325" s="2">
        <v>0</v>
      </c>
    </row>
    <row r="1326" spans="1:16" x14ac:dyDescent="0.3">
      <c r="A1326" s="1">
        <v>46116.919733796298</v>
      </c>
      <c r="B1326" s="1">
        <v>46116.970231481479</v>
      </c>
      <c r="C1326">
        <v>67.19</v>
      </c>
      <c r="D1326" s="2">
        <v>4.6655092592592595E-2</v>
      </c>
      <c r="E1326">
        <v>13.249000000000001</v>
      </c>
      <c r="F1326" s="2">
        <v>3.5185185185185185E-3</v>
      </c>
      <c r="G1326">
        <v>11.83</v>
      </c>
      <c r="H1326">
        <v>102.86</v>
      </c>
      <c r="I1326">
        <v>160</v>
      </c>
      <c r="J1326">
        <v>136</v>
      </c>
      <c r="K1326">
        <v>902</v>
      </c>
      <c r="L1326" s="2">
        <v>3.3333333333333335E-3</v>
      </c>
      <c r="M1326" s="2">
        <v>1.7256944444444443E-2</v>
      </c>
      <c r="N1326" s="2">
        <v>3.5069444444444445E-2</v>
      </c>
      <c r="O1326" s="2">
        <v>0</v>
      </c>
      <c r="P1326" s="2">
        <v>0</v>
      </c>
    </row>
    <row r="1327" spans="1:16" x14ac:dyDescent="0.3">
      <c r="A1327" s="1">
        <v>46118.239745370367</v>
      </c>
      <c r="B1327" s="1">
        <v>46118.342187499999</v>
      </c>
      <c r="C1327">
        <v>136.12</v>
      </c>
      <c r="D1327" s="2">
        <v>9.4525462962962964E-2</v>
      </c>
      <c r="E1327">
        <v>32.024000000000001</v>
      </c>
      <c r="F1327" s="2">
        <v>3.0902777777777777E-3</v>
      </c>
      <c r="G1327">
        <v>13.44</v>
      </c>
      <c r="H1327">
        <v>22.1</v>
      </c>
      <c r="I1327">
        <v>0</v>
      </c>
      <c r="J1327">
        <v>0</v>
      </c>
      <c r="K1327">
        <v>2268</v>
      </c>
      <c r="L1327" s="2">
        <v>1.7476851851851852E-3</v>
      </c>
      <c r="M1327" s="2">
        <v>1.1400462962962963E-2</v>
      </c>
      <c r="N1327" s="2">
        <v>2.8090277777777777E-2</v>
      </c>
      <c r="O1327" s="2">
        <v>6.0891203703703704E-2</v>
      </c>
      <c r="P1327" s="2">
        <v>0</v>
      </c>
    </row>
    <row r="1328" spans="1:16" x14ac:dyDescent="0.3">
      <c r="A1328" s="1">
        <v>46119.67900462963</v>
      </c>
      <c r="B1328" s="1">
        <v>46119.742847222224</v>
      </c>
      <c r="C1328">
        <v>86.56</v>
      </c>
      <c r="D1328" s="2">
        <v>6.0104166666666667E-2</v>
      </c>
      <c r="E1328">
        <v>16.248999999999999</v>
      </c>
      <c r="F1328" s="2">
        <v>3.6921296296296298E-3</v>
      </c>
      <c r="G1328">
        <v>11.26</v>
      </c>
      <c r="H1328">
        <v>13.27</v>
      </c>
      <c r="I1328">
        <v>143</v>
      </c>
      <c r="J1328">
        <v>128</v>
      </c>
      <c r="K1328">
        <v>1090</v>
      </c>
      <c r="L1328" s="2">
        <v>3.3680555555555556E-3</v>
      </c>
      <c r="M1328" s="2">
        <v>1.7638888888888888E-2</v>
      </c>
      <c r="N1328" s="2">
        <v>3.5879629629629629E-2</v>
      </c>
      <c r="O1328" s="2">
        <v>0</v>
      </c>
      <c r="P1328" s="2">
        <v>0</v>
      </c>
    </row>
    <row r="1329" spans="1:16" x14ac:dyDescent="0.3">
      <c r="A1329" s="1">
        <v>46121.964016203703</v>
      </c>
      <c r="B1329" s="1">
        <v>46122.018773148149</v>
      </c>
      <c r="C1329">
        <v>78.86</v>
      </c>
      <c r="D1329" s="2">
        <v>5.4756944444444441E-2</v>
      </c>
      <c r="E1329">
        <v>15.250999999999999</v>
      </c>
      <c r="F1329" s="2">
        <v>3.5879629629629629E-3</v>
      </c>
      <c r="G1329">
        <v>11.6</v>
      </c>
      <c r="H1329">
        <v>14.68</v>
      </c>
      <c r="I1329">
        <v>146</v>
      </c>
      <c r="J1329">
        <v>132</v>
      </c>
      <c r="K1329">
        <v>1050</v>
      </c>
      <c r="L1329" s="2">
        <v>3.1828703703703702E-3</v>
      </c>
      <c r="M1329" s="2">
        <v>1.6944444444444446E-2</v>
      </c>
      <c r="N1329" s="2">
        <v>3.471064814814815E-2</v>
      </c>
      <c r="O1329" s="2">
        <v>0</v>
      </c>
      <c r="P1329" s="2">
        <v>0</v>
      </c>
    </row>
  </sheetData>
  <mergeCells count="4">
    <mergeCell ref="S5:S32"/>
    <mergeCell ref="U5:AG5"/>
    <mergeCell ref="U9:AG9"/>
    <mergeCell ref="U7:AG7"/>
  </mergeCells>
  <conditionalFormatting sqref="F2:F2997">
    <cfRule type="cellIs" dxfId="10" priority="1" operator="between">
      <formula>0.00331018518518519</formula>
      <formula>0.00346064814814815</formula>
    </cfRule>
    <cfRule type="cellIs" dxfId="9" priority="7" operator="greaterThan">
      <formula>0.00415509259259259</formula>
    </cfRule>
    <cfRule type="cellIs" dxfId="8" priority="11" operator="between">
      <formula>0.003125</formula>
      <formula>0.00329861111111111</formula>
    </cfRule>
    <cfRule type="cellIs" dxfId="7" priority="12" operator="between">
      <formula>0.00278935185185185</formula>
      <formula>0.003125</formula>
    </cfRule>
    <cfRule type="cellIs" dxfId="6" priority="15" operator="between">
      <formula>0.00277777777777778</formula>
      <formula>0.0001</formula>
    </cfRule>
  </conditionalFormatting>
  <conditionalFormatting sqref="J2:J1997">
    <cfRule type="cellIs" dxfId="5" priority="2" operator="greaterThan">
      <formula>165</formula>
    </cfRule>
  </conditionalFormatting>
  <conditionalFormatting sqref="K2:K2997">
    <cfRule type="cellIs" dxfId="4" priority="5" operator="greaterThan">
      <formula>2000</formula>
    </cfRule>
    <cfRule type="cellIs" dxfId="3" priority="6" operator="greaterThan">
      <formula>999</formula>
    </cfRule>
  </conditionalFormatting>
  <conditionalFormatting sqref="M1:M1048576">
    <cfRule type="cellIs" dxfId="2" priority="4" operator="between">
      <formula>0.0138888888888889</formula>
      <formula>0.00000000000001</formula>
    </cfRule>
  </conditionalFormatting>
  <conditionalFormatting sqref="N1:N1048576">
    <cfRule type="cellIs" dxfId="1" priority="3" operator="between">
      <formula>0.0277777777777778</formula>
      <formula>0.0138888888888889</formula>
    </cfRule>
  </conditionalFormatting>
  <conditionalFormatting sqref="O2:P1996">
    <cfRule type="cellIs" dxfId="0" priority="14" operator="greater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9"/>
  <sheetViews>
    <sheetView rightToLeft="1" workbookViewId="0">
      <selection activeCell="F2" sqref="F2:F3"/>
    </sheetView>
  </sheetViews>
  <sheetFormatPr defaultRowHeight="14.4" x14ac:dyDescent="0.3"/>
  <sheetData>
    <row r="2" spans="1:4" x14ac:dyDescent="0.3">
      <c r="A2">
        <v>1</v>
      </c>
      <c r="C2">
        <f>IF(A2&lt;&gt;0,1,0)</f>
        <v>1</v>
      </c>
      <c r="D2">
        <f>MIN(IF(A2:A9&lt;&gt;0,A2:A9))</f>
        <v>0</v>
      </c>
    </row>
    <row r="3" spans="1:4" x14ac:dyDescent="0.3">
      <c r="A3">
        <v>2</v>
      </c>
      <c r="C3">
        <f t="shared" ref="C3:C9" si="0">IF(A3&lt;&gt;0,1,0)</f>
        <v>1</v>
      </c>
    </row>
    <row r="4" spans="1:4" x14ac:dyDescent="0.3">
      <c r="A4">
        <v>3</v>
      </c>
      <c r="C4">
        <f t="shared" si="0"/>
        <v>1</v>
      </c>
    </row>
    <row r="5" spans="1:4" x14ac:dyDescent="0.3">
      <c r="A5">
        <v>4</v>
      </c>
      <c r="C5">
        <f t="shared" si="0"/>
        <v>1</v>
      </c>
    </row>
    <row r="6" spans="1:4" x14ac:dyDescent="0.3">
      <c r="A6">
        <v>6</v>
      </c>
      <c r="C6">
        <f t="shared" si="0"/>
        <v>1</v>
      </c>
    </row>
    <row r="7" spans="1:4" x14ac:dyDescent="0.3">
      <c r="A7">
        <v>0</v>
      </c>
      <c r="C7">
        <f t="shared" si="0"/>
        <v>0</v>
      </c>
    </row>
    <row r="8" spans="1:4" x14ac:dyDescent="0.3">
      <c r="A8">
        <v>6</v>
      </c>
      <c r="C8">
        <f t="shared" si="0"/>
        <v>1</v>
      </c>
    </row>
    <row r="9" spans="1:4" x14ac:dyDescent="0.3">
      <c r="A9">
        <v>8</v>
      </c>
      <c r="C9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2024-06-29_T_23_28_33_Runtastic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BoazBilgory</dc:creator>
  <cp:lastModifiedBy>Boaz Bilgory</cp:lastModifiedBy>
  <dcterms:created xsi:type="dcterms:W3CDTF">2024-06-29T20:30:29Z</dcterms:created>
  <dcterms:modified xsi:type="dcterms:W3CDTF">2026-04-13T20:03:52Z</dcterms:modified>
</cp:coreProperties>
</file>